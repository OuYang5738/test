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'Sheet1'!$A$3:$P$71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sz val="12"/>
    </font>
    <font>
      <name val="宋体"/>
      <charset val="134"/>
      <sz val="18"/>
    </font>
    <font>
      <name val="宋体"/>
      <charset val="134"/>
      <b val="1"/>
      <sz val="18"/>
    </font>
    <font>
      <name val="宋体"/>
      <charset val="134"/>
      <b val="1"/>
      <sz val="14"/>
    </font>
    <font>
      <name val="宋体"/>
      <charset val="134"/>
      <sz val="11"/>
      <scheme val="minor"/>
    </font>
    <font>
      <name val="宋体"/>
      <charset val="134"/>
      <b val="1"/>
      <sz val="12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  <font>
      <name val="宋体"/>
      <color rgb="00000000"/>
      <sz val="12"/>
    </font>
    <font>
      <name val="宋体"/>
      <b val="1"/>
      <color rgb="00000000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3" borderId="8" applyAlignment="1">
      <alignment vertical="center"/>
    </xf>
    <xf numFmtId="0" fontId="15" fillId="4" borderId="9" applyAlignment="1">
      <alignment vertical="center"/>
    </xf>
    <xf numFmtId="0" fontId="16" fillId="4" borderId="8" applyAlignment="1">
      <alignment vertical="center"/>
    </xf>
    <xf numFmtId="0" fontId="17" fillId="5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25" fillId="0" borderId="15" applyAlignment="1" pivotButton="0" quotePrefix="0" xfId="0">
      <alignment horizontal="center" vertical="center" wrapText="1"/>
    </xf>
    <xf numFmtId="0" fontId="26" fillId="0" borderId="15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0"/>
  <sheetViews>
    <sheetView tabSelected="1" topLeftCell="A33" zoomScale="70" zoomScaleNormal="70" zoomScaleSheetLayoutView="60" workbookViewId="0">
      <selection activeCell="F31" sqref="F31"/>
    </sheetView>
  </sheetViews>
  <sheetFormatPr baseColWidth="8" defaultColWidth="8.625" defaultRowHeight="15.6"/>
  <cols>
    <col width="21.35" customWidth="1" style="4" min="1" max="1"/>
    <col width="25.975" customWidth="1" style="4" min="2" max="2"/>
    <col width="16.075" customWidth="1" style="4" min="3" max="3"/>
    <col width="15.5833333333333" customWidth="1" style="4" min="4" max="4"/>
    <col width="24.2166666666667" customWidth="1" style="4" min="5" max="5"/>
    <col width="94.8" customWidth="1" style="5" min="6" max="6"/>
    <col width="8.625" customWidth="1" style="4" min="7" max="16384"/>
  </cols>
  <sheetData>
    <row r="1" ht="22.2" customFormat="1" customHeight="1" s="1">
      <c r="B1" s="6" t="inlineStr">
        <is>
          <t>2026年1月检测费用统计表</t>
        </is>
      </c>
    </row>
    <row r="2" ht="22.2" customFormat="1" customHeight="1" s="1">
      <c r="B2" s="8" t="inlineStr">
        <is>
          <t>检测机构名称（公章）:中检溯源江苏技术服务有限公司</t>
        </is>
      </c>
    </row>
    <row r="3" ht="34.8" customFormat="1" customHeight="1" s="2">
      <c r="A3" s="10" t="inlineStr">
        <is>
          <t>任务类别
（报送分类B）</t>
        </is>
      </c>
      <c r="B3" s="10" t="inlineStr">
        <is>
          <t>抽样品种</t>
        </is>
      </c>
      <c r="C3" s="10" t="inlineStr">
        <is>
          <t>批次数</t>
        </is>
      </c>
      <c r="D3" s="10" t="inlineStr">
        <is>
          <t>检测单价</t>
        </is>
      </c>
      <c r="E3" s="10" t="inlineStr">
        <is>
          <t>检测费（元）</t>
        </is>
      </c>
      <c r="F3" s="10" t="inlineStr">
        <is>
          <t>检验项目</t>
        </is>
      </c>
    </row>
    <row r="4" ht="46.8" customHeight="1" s="4">
      <c r="A4" s="16" t="inlineStr">
        <is>
          <t>2026年江苏苏州吴中春节专项抽检计划</t>
        </is>
      </c>
      <c r="B4" s="16" t="inlineStr">
        <is>
          <t>灭菌乳</t>
        </is>
      </c>
      <c r="C4" s="16" t="n">
        <v>1</v>
      </c>
      <c r="D4" s="16" t="n">
        <v>290.5</v>
      </c>
      <c r="E4" s="16">
        <f>C4*D4</f>
        <v/>
      </c>
      <c r="F4" s="16" t="inlineStr">
        <is>
          <t>蛋白质(35)、非脂乳固体(35)、酸度(28)、三聚氰胺(105)、铅(以Pb计)(未匹配)、丙二醇(52.5)、商业无菌(35)</t>
        </is>
      </c>
    </row>
    <row r="5" ht="78" customHeight="1" s="4">
      <c r="A5" s="16" t="inlineStr">
        <is>
          <t>2026年江苏苏州吴中普通食品抽检计划</t>
        </is>
      </c>
      <c r="B5" s="16" t="inlineStr">
        <is>
          <t>水果类罐头</t>
        </is>
      </c>
      <c r="C5" s="16" t="n">
        <v>1</v>
      </c>
      <c r="D5" s="16" t="n">
        <v>245</v>
      </c>
      <c r="E5" s="16">
        <f>C5*D5</f>
        <v/>
      </c>
      <c r="F5" s="16" t="inlineStr">
        <is>
          <t>铅(以Pb计)(未匹配)、柠檬黄(52.5)、日落黄(52.5)、苋菜红(52.5)、赤藓红(52.5)、脱氢乙酸及其钠盐(以脱氢乙酸计)(未匹配)、苯甲酸及其钠盐(以苯甲酸计)(未匹配)、山梨酸及其钾盐(以山梨酸计)(未匹配)、糖精钠(以糖精计)(未匹配)、甜蜜素(以环己基氨基磺酸计)(未匹配)、二氧化硫残留量(未匹配)、商业无菌(35)</t>
        </is>
      </c>
    </row>
    <row r="6" ht="62.4" customHeight="1" s="4">
      <c r="A6" s="16" t="inlineStr">
        <is>
          <t>2026年江苏苏州吴中春节专项抽检计划</t>
        </is>
      </c>
      <c r="B6" s="16" t="inlineStr">
        <is>
          <t>果冻</t>
        </is>
      </c>
      <c r="C6" s="16" t="n">
        <v>10</v>
      </c>
      <c r="D6" s="16" t="n">
        <v>262.5</v>
      </c>
      <c r="E6" s="16">
        <f>C6*D6</f>
        <v/>
      </c>
      <c r="F6" s="16" t="inlineStr">
        <is>
          <t>山梨酸及其钾盐(以山梨酸计)(未匹配)、苯甲酸及其钠盐(以苯甲酸计)(未匹配)、糖精钠(以糖精计)(未匹配)、甜蜜素(以环己基氨基磺酸计)(未匹配)、安赛蜜(52.5)、菌落总数(52.5)、大肠菌群(52.5)、霉菌(52.5)、酵母(52.5)</t>
        </is>
      </c>
    </row>
    <row r="7" ht="46.8" customHeight="1" s="4">
      <c r="A7" s="16" t="inlineStr">
        <is>
          <t>2026年江苏苏州吴中普通食品抽检计划</t>
        </is>
      </c>
      <c r="B7" s="16" t="inlineStr">
        <is>
          <t>其他罐头</t>
        </is>
      </c>
      <c r="C7" s="16" t="n">
        <v>1</v>
      </c>
      <c r="D7" s="16" t="n">
        <v>87.5</v>
      </c>
      <c r="E7" s="16">
        <f>C7*D7</f>
        <v/>
      </c>
      <c r="F7" s="16" t="inlineStr">
        <is>
          <t>黄曲霉毒素B₁(未匹配)、脱氢乙酸及其钠盐(以脱氢乙酸计)(未匹配)、苯甲酸及其钠盐(以苯甲酸计)(未匹配)、山梨酸及其钾盐(以山梨酸计)(未匹配)、乙二胺四乙酸二钠(52.5)、商业无菌(35)</t>
        </is>
      </c>
    </row>
    <row r="8" ht="46.8" customHeight="1" s="4">
      <c r="A8" s="16" t="inlineStr">
        <is>
          <t>2026年江苏苏州吴中春节专项抽检计划</t>
        </is>
      </c>
      <c r="B8" s="16" t="inlineStr">
        <is>
          <t>灭菌乳</t>
        </is>
      </c>
      <c r="C8" s="16" t="n">
        <v>5</v>
      </c>
      <c r="D8" s="16" t="n">
        <v>325.5</v>
      </c>
      <c r="E8" s="16">
        <f>C8*D8</f>
        <v/>
      </c>
      <c r="F8" s="16" t="inlineStr">
        <is>
          <t>蛋白质(35)、非脂乳固体(35)、酸度(28)、脂肪(35)、三聚氰胺(105)、铅(以Pb计)(未匹配)、丙二醇(52.5)、商业无菌(35)</t>
        </is>
      </c>
    </row>
    <row r="9" ht="78" customHeight="1" s="4">
      <c r="A9" s="16" t="inlineStr">
        <is>
          <t>2026年江苏苏州吴中春节专项抽检计划</t>
        </is>
      </c>
      <c r="B9" s="16" t="inlineStr">
        <is>
          <t>其他饮料</t>
        </is>
      </c>
      <c r="C9" s="16" t="n">
        <v>1</v>
      </c>
      <c r="D9" s="16" t="n">
        <v>472.5</v>
      </c>
      <c r="E9" s="16">
        <f>C9*D9</f>
        <v/>
      </c>
      <c r="F9" s="16" t="inlineStr">
        <is>
          <t>苯甲酸及其钠盐(以苯甲酸计)(未匹配)、山梨酸及其钾盐(以山梨酸计)(未匹配)、脱氢乙酸及其钠盐(以脱氢乙酸计)(未匹配)、糖精钠(以糖精计)(未匹配)、安赛蜜(52.5)、甜蜜素(以环己基氨基磺酸计)(未匹配)、阿斯巴甜(52.5)、柠檬黄(52.5)、新红(未匹配)、日落黄(52.5)、诱惑红(52.5)、菌落总数(52.5)、大肠菌群(52.5)、霉菌(52.5)、酵母(52.5)</t>
        </is>
      </c>
    </row>
    <row r="10" ht="46.8" customHeight="1" s="4">
      <c r="A10" s="16" t="inlineStr">
        <is>
          <t>2026年江苏苏州吴中春节专项抽检计划</t>
        </is>
      </c>
      <c r="B10" s="16" t="inlineStr">
        <is>
          <t>茶饮料</t>
        </is>
      </c>
      <c r="C10" s="16" t="n">
        <v>8</v>
      </c>
      <c r="D10" s="16" t="n">
        <v>262.5</v>
      </c>
      <c r="E10" s="16">
        <f>C10*D10</f>
        <v/>
      </c>
      <c r="F10" s="16" t="inlineStr">
        <is>
          <t>茶多酚(52.5)、咖啡因(52.5)、脱氢乙酸及其钠盐(以脱氢乙酸计)(未匹配)、安赛蜜(52.5)、甜蜜素(以环己基氨基磺酸计)(未匹配)、阿斯巴甜(52.5)、菌落总数(52.5)</t>
        </is>
      </c>
    </row>
    <row r="11" ht="62.4" customHeight="1" s="4">
      <c r="A11" s="16" t="inlineStr">
        <is>
          <t>2026年江苏苏州吴中普通食品抽检计划</t>
        </is>
      </c>
      <c r="B11" s="16" t="inlineStr">
        <is>
          <t>水果类罐头</t>
        </is>
      </c>
      <c r="C11" s="16" t="n">
        <v>1</v>
      </c>
      <c r="D11" s="16" t="n">
        <v>245</v>
      </c>
      <c r="E11" s="16">
        <f>C11*D11</f>
        <v/>
      </c>
      <c r="F11" s="16" t="inlineStr">
        <is>
          <t>铅(以Pb计)(未匹配)、柠檬黄(52.5)、日落黄(52.5)、苋菜红(52.5)、赤藓红(52.5)、脱氢乙酸及其钠盐(以脱氢乙酸计)(未匹配)、苯甲酸及其钠盐(以苯甲酸计)(未匹配)、山梨酸及其钾盐(以山梨酸计)(未匹配)、糖精钠(以糖精计)(未匹配)、甜蜜素(以环己基氨基磺酸计)(未匹配)、商业无菌(35)</t>
        </is>
      </c>
    </row>
    <row r="12" ht="62.4" customHeight="1" s="4">
      <c r="A12" s="16" t="inlineStr">
        <is>
          <t>2026年江苏苏州吴中春节专项抽检计划</t>
        </is>
      </c>
      <c r="B12" s="16" t="inlineStr">
        <is>
          <t>发酵乳</t>
        </is>
      </c>
      <c r="C12" s="16" t="n">
        <v>3</v>
      </c>
      <c r="D12" s="16" t="n">
        <v>553</v>
      </c>
      <c r="E12" s="16">
        <f>C12*D12</f>
        <v/>
      </c>
      <c r="F12" s="16" t="inlineStr">
        <is>
          <t>脂肪(35)、蛋白质(35)、酸度(28)、三聚氰胺(105)、铅(以Pb计)(未匹配)、山梨酸及其钾盐(以山梨酸计)(未匹配)、阿斯巴甜(52.5)、安赛蜜(52.5)、甜蜜素(以环己基氨基磺酸计)(未匹配)、金黄色葡萄球菌(70)、沙门氏菌(70)、大肠菌群(52.5)、霉菌(52.5)</t>
        </is>
      </c>
    </row>
    <row r="13" ht="62.4" customHeight="1" s="4">
      <c r="A13" s="16" t="inlineStr">
        <is>
          <t>2026年江苏苏州吴中春节专项抽检计划</t>
        </is>
      </c>
      <c r="B13" s="16" t="inlineStr">
        <is>
          <t>普通食用盐</t>
        </is>
      </c>
      <c r="C13" s="16" t="n">
        <v>5</v>
      </c>
      <c r="D13" s="16" t="n">
        <v>52.5</v>
      </c>
      <c r="E13" s="16">
        <f>C13*D13</f>
        <v/>
      </c>
      <c r="F13" s="16" t="inlineStr">
        <is>
          <t>氯化钠(以干基计)(未匹配)、钡(以Ba计)(未匹配)、碘(以I计)(未匹配)、铅(以Pb计)(未匹配)、镉(以Cd计)(未匹配)、总汞(以Hg计)(未匹配)、亚铁氰化钾/亚铁氰化钠(以亚铁氰根计)(52.5)、总砷(以As计)(未匹配)</t>
        </is>
      </c>
    </row>
    <row r="14" ht="46.8" customHeight="1" s="4">
      <c r="A14" s="16" t="inlineStr">
        <is>
          <t>2026年江苏苏州吴中春节专项抽检计划</t>
        </is>
      </c>
      <c r="B14" s="16" t="inlineStr">
        <is>
          <t>特殊工艺食用盐</t>
        </is>
      </c>
      <c r="C14" s="16" t="n">
        <v>1</v>
      </c>
      <c r="D14" s="16" t="n">
        <v>52.5</v>
      </c>
      <c r="E14" s="16">
        <f>C14*D14</f>
        <v/>
      </c>
      <c r="F14" s="16" t="inlineStr">
        <is>
          <t>氯化钠(以干基计)(未匹配)、碘(以I计)(未匹配)、铅(以Pb计)(未匹配)、镉(以Cd计)(未匹配)、总汞(以Hg计)(未匹配)、亚铁氰化钾/亚铁氰化钠(以亚铁氰根计)(52.5)、总砷(以As计)(未匹配)</t>
        </is>
      </c>
    </row>
    <row r="15" ht="62.4" customHeight="1" s="4">
      <c r="A15" s="16" t="inlineStr">
        <is>
          <t>2026年江苏苏州吴中春节专项抽检计划</t>
        </is>
      </c>
      <c r="B15" s="16" t="inlineStr">
        <is>
          <t>特殊工艺食用盐</t>
        </is>
      </c>
      <c r="C15" s="16" t="n">
        <v>1</v>
      </c>
      <c r="D15" s="16" t="n">
        <v>52.5</v>
      </c>
      <c r="E15" s="16">
        <f>C15*D15</f>
        <v/>
      </c>
      <c r="F15" s="16" t="inlineStr">
        <is>
          <t>氯化钠(以干基计)(未匹配)、钡(以Ba计)(未匹配)、碘(以I计)(未匹配)、铅(以Pb计)(未匹配)、镉(以Cd计)(未匹配)、总汞(以Hg计)(未匹配)、亚铁氰化钾/亚铁氰化钠(以亚铁氰根计)(52.5)、总砷(以As计)(未匹配)</t>
        </is>
      </c>
    </row>
    <row r="16" ht="62.4" customHeight="1" s="4">
      <c r="A16" s="16" t="inlineStr">
        <is>
          <t>2026年江苏苏州吴中春节专项抽检计划</t>
        </is>
      </c>
      <c r="B16" s="16" t="inlineStr">
        <is>
          <t>料酒</t>
        </is>
      </c>
      <c r="C16" s="16" t="n">
        <v>1</v>
      </c>
      <c r="D16" s="16" t="n">
        <v>70</v>
      </c>
      <c r="E16" s="16">
        <f>C16*D16</f>
        <v/>
      </c>
      <c r="F16" s="16" t="inlineStr">
        <is>
          <t>氨基酸态氮(以氮计)(未匹配)、苯甲酸及其钠盐(以苯甲酸计)(未匹配)、山梨酸及其钾盐(以山梨酸计)(未匹配)、脱氢乙酸及其钠盐(以脱氢乙酸计)(未匹配)、甜蜜素(以环己基氨基磺酸计)(未匹配)、三氯蔗糖(70)</t>
        </is>
      </c>
    </row>
    <row r="17" ht="31.2" customHeight="1" s="4">
      <c r="A17" s="16" t="inlineStr">
        <is>
          <t>2026年江苏苏州吴中春节专项抽检计划</t>
        </is>
      </c>
      <c r="B17" s="16" t="inlineStr">
        <is>
          <t>调制乳</t>
        </is>
      </c>
      <c r="C17" s="16" t="n">
        <v>1</v>
      </c>
      <c r="D17" s="16" t="n">
        <v>175</v>
      </c>
      <c r="E17" s="16">
        <f>C17*D17</f>
        <v/>
      </c>
      <c r="F17" s="16" t="inlineStr">
        <is>
          <t>蛋白质(35)、三聚氰胺(105)、铅(以Pb计)(未匹配)、商业无菌(35)</t>
        </is>
      </c>
    </row>
    <row r="18" ht="78" customHeight="1" s="4">
      <c r="A18" s="16" t="inlineStr">
        <is>
          <t>2026年江苏苏州吴中春节专项抽检计划</t>
        </is>
      </c>
      <c r="B18" s="16" t="inlineStr">
        <is>
          <t>蜜饯类、凉果类、果脯类、话化类、果糕类</t>
        </is>
      </c>
      <c r="C18" s="16" t="n">
        <v>2</v>
      </c>
      <c r="D18" s="16" t="n">
        <v>420</v>
      </c>
      <c r="E18" s="16">
        <f>C18*D18</f>
        <v/>
      </c>
      <c r="F18" s="16" t="inlineStr">
        <is>
          <t>铅(以Pb计)(未匹配)、苯甲酸及其钠盐(以苯甲酸计)(未匹配)、山梨酸及其钾盐(以山梨酸计)(未匹配)、脱氢乙酸及其钠盐(以脱氢乙酸计)(未匹配)、糖精钠(以糖精计)(未匹配)、甜蜜素(以环己基氨基磺酸计)(未匹配)、安赛蜜(52.5)、二氧化硫残留量(未匹配)、柠檬黄(52.5)、日落黄(52.5)、苋菜红(52.5)、胭脂红(52.5)、菌落总数(52.5)、大肠菌群(52.5)、霉菌(52.5)</t>
        </is>
      </c>
    </row>
    <row r="19" ht="46.8" customHeight="1" s="4">
      <c r="A19" s="16" t="inlineStr">
        <is>
          <t>2026年江苏苏州吴中春节专项抽检计划</t>
        </is>
      </c>
      <c r="B19" s="16" t="inlineStr">
        <is>
          <t>水果干制品(含干枸杞)</t>
        </is>
      </c>
      <c r="C19" s="16" t="n">
        <v>1</v>
      </c>
      <c r="D19" s="16" t="n">
        <v>210</v>
      </c>
      <c r="E19" s="16">
        <f>C19*D19</f>
        <v/>
      </c>
      <c r="F19" s="16" t="inlineStr">
        <is>
          <t>铅(以Pb计)(未匹配)、山梨酸及其钾盐(以山梨酸计)(未匹配)、糖精钠(以糖精计)(未匹配)、二氧化硫残留量(未匹配)、柠檬黄(52.5)、日落黄(52.5)、胭脂红(52.5)、诱惑红(52.5)</t>
        </is>
      </c>
    </row>
    <row r="20" ht="46.8" customHeight="1" s="4">
      <c r="A20" s="16" t="inlineStr">
        <is>
          <t>2026年江苏苏州吴中普通食品抽检计划</t>
        </is>
      </c>
      <c r="B20" s="16" t="inlineStr">
        <is>
          <t>畜禽肉类罐头</t>
        </is>
      </c>
      <c r="C20" s="16" t="n">
        <v>2</v>
      </c>
      <c r="D20" s="16" t="n">
        <v>35</v>
      </c>
      <c r="E20" s="16">
        <f>C20*D20</f>
        <v/>
      </c>
      <c r="F20" s="16" t="inlineStr">
        <is>
          <t>铅(以Pb计)(未匹配)、镉(以Cd计)(未匹配)、脱氢乙酸及其钠盐(以脱氢乙酸计)(未匹配)、苯甲酸及其钠盐(以苯甲酸计)(未匹配)、山梨酸及其钾盐(以山梨酸计)(未匹配)、商业无菌(35)</t>
        </is>
      </c>
    </row>
    <row r="21" ht="96" customHeight="1" s="4">
      <c r="A21" s="16" t="inlineStr">
        <is>
          <t>2026年江苏苏州吴中普通食品抽检计划</t>
        </is>
      </c>
      <c r="B21" s="16" t="inlineStr">
        <is>
          <t>糕点</t>
        </is>
      </c>
      <c r="C21" s="16" t="n">
        <v>4</v>
      </c>
      <c r="D21" s="16" t="n">
        <v>787.5</v>
      </c>
      <c r="E21" s="16">
        <f>C21*D21</f>
        <v/>
      </c>
      <c r="F21" s="16" t="inlineStr">
        <is>
          <t>酸价(以脂肪计)(KOH)(未匹配)、过氧化值(以脂肪计)(35)、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纳他霉素(70)、三氯蔗糖(70)、丙二醇(52.5)、柠檬黄(52.5)、日落黄(52.5)、胭脂红(52.5)、赤藓红(52.5)、菌落总数(52.5)、大肠菌群(52.5)、金黄色葡萄球菌(70)、沙门氏菌(70)、霉菌(52.5)</t>
        </is>
      </c>
    </row>
    <row r="22" ht="93.59999999999999" customHeight="1" s="4">
      <c r="A22" s="16" t="inlineStr">
        <is>
          <t>2026年江苏苏州吴中普通食品抽检计划</t>
        </is>
      </c>
      <c r="B22" s="16" t="inlineStr">
        <is>
          <t>酱卤肉制品</t>
        </is>
      </c>
      <c r="C22" s="16" t="n">
        <v>10</v>
      </c>
      <c r="D22" s="16" t="n">
        <v>700</v>
      </c>
      <c r="E22" s="16">
        <f>C22*D22</f>
        <v/>
      </c>
      <c r="F22" s="16" t="inlineStr">
        <is>
          <t>镉(以Cd计)(未匹配)、铬(以Cr计)(未匹配)、总砷(以As计)(未匹配)、N-二甲基亚硝胺(105)、亚硝酸盐(以亚硝酸钠计)(未匹配)、苯甲酸及其钠盐(以苯甲酸计)(未匹配)、山梨酸及其钾盐(以山梨酸计)(未匹配)、脱氢乙酸及其钠盐(以脱氢乙酸计)(未匹配)、纳他霉素(70)、糖精钠(以糖精计)(未匹配)、柠檬黄(52.5)、日落黄(52.5)、胭脂红(52.5)、诱惑红(52.5)、氯霉素(105)、沙门氏菌(70)、金黄色葡萄球菌(70)、单核细胞增生李斯特氏菌(70)</t>
        </is>
      </c>
    </row>
    <row r="23" ht="93.59999999999999" customHeight="1" s="4">
      <c r="A23" s="16" t="inlineStr">
        <is>
          <t>2026年江苏苏州吴中普通食品抽检计划</t>
        </is>
      </c>
      <c r="B23" s="16" t="inlineStr">
        <is>
          <t>面包</t>
        </is>
      </c>
      <c r="C23" s="16" t="n">
        <v>1</v>
      </c>
      <c r="D23" s="16" t="n">
        <v>630</v>
      </c>
      <c r="E23" s="16">
        <f>C23*D23</f>
        <v/>
      </c>
      <c r="F23" s="16" t="inlineStr">
        <is>
          <t>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三氯蔗糖(70)、柠檬黄(52.5)、日落黄(52.5)、胭脂红(52.5)、亮蓝(52.5)、菌落总数(52.5)、大肠菌群(52.5)、金黄色葡萄球菌(70)、沙门氏菌(70)、霉菌(52.5)</t>
        </is>
      </c>
    </row>
    <row r="24" ht="93.59999999999999" customHeight="1" s="4">
      <c r="A24" s="16" t="inlineStr">
        <is>
          <t>2026年江苏苏州吴中普通食品抽检计划</t>
        </is>
      </c>
      <c r="B24" s="16" t="inlineStr">
        <is>
          <t>饼干</t>
        </is>
      </c>
      <c r="C24" s="16" t="n">
        <v>1</v>
      </c>
      <c r="D24" s="16" t="n">
        <v>542.5</v>
      </c>
      <c r="E24" s="16">
        <f>C24*D24</f>
        <v/>
      </c>
      <c r="F24" s="16" t="inlineStr">
        <is>
          <t>酸价(以脂肪计)(KOH)(未匹配)、过氧化值(以脂肪计)(35)、山梨酸及其钾盐(以山梨酸计)(未匹配)、铝的残留量(干样品,以Al计)(未匹配)、脱氢乙酸及其钠盐(以脱氢乙酸计)(未匹配)、甜蜜素(以环己基氨基磺酸计)(未匹配)、糖精钠(以糖精计)(未匹配)、二氧化硫残留量(未匹配)、苯甲酸及其钠盐(以苯甲酸计)(未匹配)、柠檬黄(52.5)、日落黄(52.5)、胭脂红(52.5)、亮蓝(52.5)、菌落总数(52.5)、大肠菌群(52.5)、金黄色葡萄球菌(70)、沙门氏菌(70)、霉菌(52.5)</t>
        </is>
      </c>
    </row>
    <row r="25" ht="96" customHeight="1" s="4">
      <c r="A25" s="16" t="inlineStr">
        <is>
          <t>2026年江苏苏州吴中普通食品抽检计划</t>
        </is>
      </c>
      <c r="B25" s="16" t="inlineStr">
        <is>
          <t>面包</t>
        </is>
      </c>
      <c r="C25" s="16" t="n">
        <v>1</v>
      </c>
      <c r="D25" s="16" t="n">
        <v>665</v>
      </c>
      <c r="E25" s="16">
        <f>C25*D25</f>
        <v/>
      </c>
      <c r="F25" s="16" t="inlineStr">
        <is>
          <t>酸价(以脂肪计)(KOH)(未匹配)、过氧化值(以脂肪计)(35)、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三氯蔗糖(70)、柠檬黄(52.5)、日落黄(52.5)、胭脂红(52.5)、亮蓝(52.5)、菌落总数(52.5)、大肠菌群(52.5)、金黄色葡萄球菌(70)、沙门氏菌(70)、霉菌(52.5)</t>
        </is>
      </c>
    </row>
    <row r="26" ht="96" customHeight="1" s="4">
      <c r="A26" s="16" t="inlineStr">
        <is>
          <t>2026年江苏苏州吴中春节专项抽检计划</t>
        </is>
      </c>
      <c r="B26" s="16" t="inlineStr">
        <is>
          <t>糕点</t>
        </is>
      </c>
      <c r="C26" s="16" t="n">
        <v>3</v>
      </c>
      <c r="D26" s="16" t="n">
        <v>787.5</v>
      </c>
      <c r="E26" s="16">
        <f>C26*D26</f>
        <v/>
      </c>
      <c r="F26" s="16" t="inlineStr">
        <is>
          <t>酸价(以脂肪计)(KOH)(未匹配)、过氧化值(以脂肪计)(35)、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纳他霉素(70)、三氯蔗糖(70)、丙二醇(52.5)、柠檬黄(52.5)、日落黄(52.5)、胭脂红(52.5)、赤藓红(52.5)、菌落总数(52.5)、大肠菌群(52.5)、金黄色葡萄球菌(70)、沙门氏菌(70)、霉菌(52.5)</t>
        </is>
      </c>
    </row>
    <row r="27" ht="96" customHeight="1" s="4">
      <c r="A27" s="16" t="inlineStr">
        <is>
          <t>2026年江苏苏州吴中春节专项抽检计划</t>
        </is>
      </c>
      <c r="B27" s="16" t="inlineStr">
        <is>
          <t>糕点</t>
        </is>
      </c>
      <c r="C27" s="16" t="n">
        <v>1</v>
      </c>
      <c r="D27" s="16" t="n">
        <v>787.5</v>
      </c>
      <c r="E27" s="16">
        <f>C27*D27</f>
        <v/>
      </c>
      <c r="F27" s="16" t="inlineStr">
        <is>
          <t>过氧化值(以脂肪计)(35)、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纳他霉素(70)、三氯蔗糖(70)、丙二醇(52.5)、柠檬黄(52.5)、日落黄(52.5)、胭脂红(52.5)、赤藓红(52.5)、菌落总数(52.5)、大肠菌群(52.5)、金黄色葡萄球菌(70)、沙门氏菌(70)、霉菌(52.5)</t>
        </is>
      </c>
    </row>
    <row r="28" ht="46.8" customHeight="1" s="4">
      <c r="A28" s="16" t="inlineStr">
        <is>
          <t>2026年江苏苏州吴中普通食品抽检计划</t>
        </is>
      </c>
      <c r="B28" s="16" t="inlineStr">
        <is>
          <t>萝卜</t>
        </is>
      </c>
      <c r="C28" s="16" t="n">
        <v>2</v>
      </c>
      <c r="D28" s="16" t="n">
        <v>315</v>
      </c>
      <c r="E28" s="16">
        <f>C28*D28</f>
        <v/>
      </c>
      <c r="F28" s="16" t="inlineStr">
        <is>
          <t>铅(以Pb计)(未匹配)、毒死蜱(52.5)、甲胺磷(52.5)、甲拌磷(52.5)、氯氟氰菊酯和高效氯氟氰菊酯(52.5)、噻虫嗪(52.5)、氧乐果(52.5)</t>
        </is>
      </c>
    </row>
    <row r="29" ht="62.4" customHeight="1" s="4">
      <c r="A29" s="16" t="inlineStr">
        <is>
          <t>2026年江苏苏州吴中普通食品抽检计划</t>
        </is>
      </c>
      <c r="B29" s="16" t="inlineStr">
        <is>
          <t>普通白菜</t>
        </is>
      </c>
      <c r="C29" s="16" t="n">
        <v>1</v>
      </c>
      <c r="D29" s="16" t="n">
        <v>472.5</v>
      </c>
      <c r="E29" s="16">
        <f>C29*D29</f>
        <v/>
      </c>
      <c r="F29" s="16" t="inlineStr">
        <is>
          <t>敌敌畏(52.5)、毒死蜱(52.5)、氟氯氰菊酯和高效氟氯氰菊酯(未匹配)、甲拌磷(52.5)、甲基异柳磷(52.5)、氯氟氰菊酯和高效氯氟氰菊酯(52.5)、氯氰菊酯和高效氯氰菊酯(52.5)、水胺硫磷(52.5)、氧乐果(52.5)、乙酰甲胺磷(52.5)</t>
        </is>
      </c>
    </row>
    <row r="30" ht="62.4" customHeight="1" s="4">
      <c r="A30" s="16" t="inlineStr">
        <is>
          <t>2026年江苏苏州吴中普通食品抽检计划</t>
        </is>
      </c>
      <c r="B30" s="16" t="inlineStr">
        <is>
          <t>牛肉</t>
        </is>
      </c>
      <c r="C30" s="16" t="n">
        <v>1</v>
      </c>
      <c r="D30" s="16" t="n">
        <v>630</v>
      </c>
      <c r="E30" s="16">
        <f>C30*D30</f>
        <v/>
      </c>
      <c r="F30" s="16" t="inlineStr">
        <is>
          <t>呋喃唑酮代谢物(105)、呋喃西林代谢物(105)、氯霉素(105)、克伦特罗(105)、莱克多巴胺(105)、沙丁胺醇(105)、恩诺沙星(未匹配)、磺胺类(总量)(未匹配)、多西环素(未匹配)、土霉素/金霉素/四环素(组合含量)(未匹配)</t>
        </is>
      </c>
    </row>
    <row r="31" ht="46.8" customHeight="1" s="4">
      <c r="A31" s="16" t="inlineStr">
        <is>
          <t>2026年江苏苏州吴中普通食品抽检计划</t>
        </is>
      </c>
      <c r="B31" s="16" t="inlineStr">
        <is>
          <t>马铃薯</t>
        </is>
      </c>
      <c r="C31" s="16" t="n">
        <v>1</v>
      </c>
      <c r="D31" s="16" t="n">
        <v>367.5</v>
      </c>
      <c r="E31" s="16">
        <f>C31*D31</f>
        <v/>
      </c>
      <c r="F31" s="16" t="inlineStr">
        <is>
          <t>铅(以Pb计)(未匹配)、镉(以Cd计)(未匹配)、毒死蜱(52.5)、甲拌磷(52.5)、氯氟氰菊酯和高效氯氟氰菊酯(52.5)、氯氰菊酯和高效氯氰菊酯(52.5)、噻虫嗪(52.5)、杀扑磷(52.5)、乙酰甲胺磷(52.5)</t>
        </is>
      </c>
    </row>
    <row r="32" ht="46.8" customHeight="1" s="4">
      <c r="A32" s="16" t="inlineStr">
        <is>
          <t>2026年江苏苏州吴中普通食品抽检计划</t>
        </is>
      </c>
      <c r="B32" s="16" t="inlineStr">
        <is>
          <t>甘薯</t>
        </is>
      </c>
      <c r="C32" s="16" t="n">
        <v>1</v>
      </c>
      <c r="D32" s="16" t="n">
        <v>367.5</v>
      </c>
      <c r="E32" s="16">
        <f>C32*D32</f>
        <v/>
      </c>
      <c r="F32" s="16" t="inlineStr">
        <is>
          <t>铅(以Pb计)(未匹配)、毒死蜱(52.5)、氟虫腈(52.5)、甲拌磷(52.5)、氯氟氰菊酯和高效氯氟氰菊酯(52.5)、氯氰菊酯和高效氯氰菊酯(52.5)、噻虫嗪(52.5)、杀扑磷(52.5)</t>
        </is>
      </c>
    </row>
    <row r="33" ht="62.4" customHeight="1" s="4">
      <c r="A33" s="16" t="inlineStr">
        <is>
          <t>2026年江苏苏州吴中普通食品抽检计划</t>
        </is>
      </c>
      <c r="B33" s="16" t="inlineStr">
        <is>
          <t>羊肉</t>
        </is>
      </c>
      <c r="C33" s="16" t="n">
        <v>1</v>
      </c>
      <c r="D33" s="16" t="n">
        <v>630</v>
      </c>
      <c r="E33" s="16">
        <f>C33*D33</f>
        <v/>
      </c>
      <c r="F33" s="16" t="inlineStr">
        <is>
          <t>呋喃唑酮代谢物(105)、呋喃西林代谢物(105)、氯霉素(105)、克伦特罗(105)、莱克多巴胺(105)、沙丁胺醇(105)、恩诺沙星(未匹配)、磺胺类(总量)(未匹配)、氟苯尼考(未匹配)、土霉素/金霉素/四环素(组合含量)(未匹配)</t>
        </is>
      </c>
    </row>
    <row r="34" ht="96" customHeight="1" s="4">
      <c r="A34" s="16" t="inlineStr">
        <is>
          <t>2026年江苏苏州吴中春节专项抽检计划</t>
        </is>
      </c>
      <c r="B34" s="16" t="inlineStr">
        <is>
          <t>糕点</t>
        </is>
      </c>
      <c r="C34" s="16" t="n">
        <v>5</v>
      </c>
      <c r="D34" s="16" t="n">
        <v>787.5</v>
      </c>
      <c r="E34" s="16">
        <f>C34*D34</f>
        <v/>
      </c>
      <c r="F34" s="16" t="inlineStr">
        <is>
          <t>酸价(以脂肪计)(KOH)(未匹配)、过氧化值(以脂肪计)(35)、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纳他霉素(70)、三氯蔗糖(70)、丙二醇(52.5)、柠檬黄(52.5)、日落黄(52.5)、胭脂红(52.5)、苋菜红(52.5)、菌落总数(52.5)、大肠菌群(52.5)、金黄色葡萄球菌(70)、沙门氏菌(70)、霉菌(52.5)</t>
        </is>
      </c>
    </row>
    <row r="35" ht="93.59999999999999" customHeight="1" s="4">
      <c r="A35" s="16" t="inlineStr">
        <is>
          <t>2026年江苏苏州吴中春节专项抽检计划</t>
        </is>
      </c>
      <c r="B35" s="16" t="inlineStr">
        <is>
          <t>面包</t>
        </is>
      </c>
      <c r="C35" s="16" t="n">
        <v>6</v>
      </c>
      <c r="D35" s="16" t="n">
        <v>630</v>
      </c>
      <c r="E35" s="16">
        <f>C35*D35</f>
        <v/>
      </c>
      <c r="F35" s="16" t="inlineStr">
        <is>
          <t>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三氯蔗糖(70)、柠檬黄(52.5)、日落黄(52.5)、胭脂红(52.5)、苋菜红(52.5)、菌落总数(52.5)、大肠菌群(52.5)、金黄色葡萄球菌(70)、沙门氏菌(70)、霉菌(52.5)</t>
        </is>
      </c>
    </row>
    <row r="36" ht="62.4" customHeight="1" s="4">
      <c r="A36" s="16" t="inlineStr">
        <is>
          <t>2026年江苏苏州吴中春节专项抽检计划</t>
        </is>
      </c>
      <c r="B36" s="16" t="inlineStr">
        <is>
          <t>低钠食用盐</t>
        </is>
      </c>
      <c r="C36" s="16" t="n">
        <v>2</v>
      </c>
      <c r="D36" s="16" t="n">
        <v>52.5</v>
      </c>
      <c r="E36" s="16">
        <f>C36*D36</f>
        <v/>
      </c>
      <c r="F36" s="16" t="inlineStr">
        <is>
          <t>氯化钾(以干基计)(未匹配)、钡(以Ba计)(未匹配)、碘(以I计)(未匹配)、铅(以Pb计)(未匹配)、镉(以Cd计)(未匹配)、总汞(以Hg计)(未匹配)、亚铁氰化钾/亚铁氰化钠(以亚铁氰根计)(52.5)、总砷(以As计)(未匹配)</t>
        </is>
      </c>
    </row>
    <row r="37" ht="78" customHeight="1" s="4">
      <c r="A37" s="16" t="inlineStr">
        <is>
          <t>2026年江苏苏州吴中春节专项抽检计划</t>
        </is>
      </c>
      <c r="B37" s="16" t="inlineStr">
        <is>
          <t>其他饮料</t>
        </is>
      </c>
      <c r="C37" s="16" t="n">
        <v>1</v>
      </c>
      <c r="D37" s="16" t="n">
        <v>525</v>
      </c>
      <c r="E37" s="16">
        <f>C37*D37</f>
        <v/>
      </c>
      <c r="F37" s="16" t="inlineStr">
        <is>
          <t>苯甲酸及其钠盐(以苯甲酸计)(未匹配)、山梨酸及其钾盐(以山梨酸计)(未匹配)、脱氢乙酸及其钠盐(以脱氢乙酸计)(未匹配)、糖精钠(以糖精计)(未匹配)、安赛蜜(52.5)、甜蜜素(以环己基氨基磺酸计)(未匹配)、阿斯巴甜(52.5)、柠檬黄(52.5)、苋菜红(52.5)、日落黄(52.5)、诱惑红(52.5)、菌落总数(52.5)、大肠菌群(52.5)、霉菌(52.5)、酵母(52.5)</t>
        </is>
      </c>
    </row>
    <row r="38" ht="78" customHeight="1" s="4">
      <c r="A38" s="16" t="inlineStr">
        <is>
          <t>2026年江苏苏州吴中普通食品抽检计划</t>
        </is>
      </c>
      <c r="B38" s="16" t="inlineStr">
        <is>
          <t>酱腌菜</t>
        </is>
      </c>
      <c r="C38" s="16" t="n">
        <v>4</v>
      </c>
      <c r="D38" s="16" t="n">
        <v>210</v>
      </c>
      <c r="E38" s="16">
        <f>C38*D38</f>
        <v/>
      </c>
      <c r="F38" s="16" t="inlineStr">
        <is>
          <t>铅(以Pb计)(未匹配)、亚硝酸盐(以NaNO₂计)(未匹配)、苯甲酸及其钠盐(以苯甲酸计)(未匹配)、山梨酸及其钾盐(以山梨酸计)(未匹配)、脱氢乙酸及其钠盐(以脱氢乙酸计)(未匹配)、糖精钠(以糖精计)(未匹配)、甜蜜素(以环己基氨基磺酸计)(未匹配)、二氧化硫残留量(未匹配)、安赛蜜(52.5)、柠檬黄(52.5)、日落黄(52.5)、诱惑红(52.5)</t>
        </is>
      </c>
    </row>
    <row r="39" ht="78" customHeight="1" s="4">
      <c r="A39" s="16" t="inlineStr">
        <is>
          <t>2026年江苏苏州吴中春节专项抽检计划</t>
        </is>
      </c>
      <c r="B39" s="16" t="inlineStr">
        <is>
          <t>其他炒货食品及坚果制品</t>
        </is>
      </c>
      <c r="C39" s="16" t="n">
        <v>3</v>
      </c>
      <c r="D39" s="16" t="n">
        <v>192.5</v>
      </c>
      <c r="E39" s="16">
        <f>C39*D39</f>
        <v/>
      </c>
      <c r="F39" s="16" t="inlineStr">
        <is>
          <t>酸价(以脂肪计)(KOH)(未匹配)、过氧化值(以脂肪计)(35)、铅(以Pb计)(未匹配)、黄曲霉毒素B₁(未匹配)、苯甲酸及其钠盐(以苯甲酸计)(未匹配)、山梨酸及其钾盐(以山梨酸计)(未匹配)、脱氢乙酸及其钠盐(以脱氢乙酸计)(未匹配)、二氧化硫残留量(未匹配)、糖精钠(以糖精计)(未匹配)、甜蜜素(以环己基氨基磺酸计)(未匹配)、安赛蜜(52.5)、大肠菌群(52.5)、霉菌(52.5)</t>
        </is>
      </c>
    </row>
    <row r="40" ht="78" customHeight="1" s="4">
      <c r="A40" s="16" t="inlineStr">
        <is>
          <t>2026年江苏苏州吴中普通食品抽检计划</t>
        </is>
      </c>
      <c r="B40" s="16" t="inlineStr">
        <is>
          <t>熟肉干制品</t>
        </is>
      </c>
      <c r="C40" s="16" t="n">
        <v>1</v>
      </c>
      <c r="D40" s="16" t="n">
        <v>525</v>
      </c>
      <c r="E40" s="16">
        <f>C40*D40</f>
        <v/>
      </c>
      <c r="F40" s="16" t="inlineStr">
        <is>
          <t>铅(以Pb计)(未匹配)、N-二甲基亚硝胺(105)、苯甲酸及其钠盐(以苯甲酸计)(未匹配)、山梨酸及其钾盐(以山梨酸计)(未匹配)、脱氢乙酸及其钠盐(以脱氢乙酸计)(未匹配)、胭脂红(52.5)、诱惑红(52.5)、氯霉素(105)、沙门氏菌(70)、金黄色葡萄球菌(70)、单核细胞增生李斯特氏菌(70)、致泻大肠埃希氏菌(未匹配)</t>
        </is>
      </c>
    </row>
    <row r="41" ht="93.59999999999999" customHeight="1" s="4">
      <c r="A41" s="16" t="inlineStr">
        <is>
          <t>2026年江苏苏州吴中普通食品抽检计划</t>
        </is>
      </c>
      <c r="B41" s="16" t="inlineStr">
        <is>
          <t>饼干</t>
        </is>
      </c>
      <c r="C41" s="16" t="n">
        <v>9</v>
      </c>
      <c r="D41" s="16" t="n">
        <v>542.5</v>
      </c>
      <c r="E41" s="16">
        <f>C41*D41</f>
        <v/>
      </c>
      <c r="F41" s="16" t="inlineStr">
        <is>
          <t>酸价(以脂肪计)(KOH)(未匹配)、过氧化值(以脂肪计)(35)、山梨酸及其钾盐(以山梨酸计)(未匹配)、铝的残留量(干样品,以Al计)(未匹配)、脱氢乙酸及其钠盐(以脱氢乙酸计)(未匹配)、甜蜜素(以环己基氨基磺酸计)(未匹配)、糖精钠(以糖精计)(未匹配)、二氧化硫残留量(未匹配)、苯甲酸及其钠盐(以苯甲酸计)(未匹配)、柠檬黄(52.5)、日落黄(52.5)、苋菜红(52.5)、诱惑红(52.5)、菌落总数(52.5)、大肠菌群(52.5)、金黄色葡萄球菌(70)、沙门氏菌(70)、霉菌(52.5)</t>
        </is>
      </c>
    </row>
    <row r="42" ht="62.4" customHeight="1" s="4">
      <c r="A42" s="16" t="inlineStr">
        <is>
          <t>2026年江苏苏州吴中普通食品抽检计划</t>
        </is>
      </c>
      <c r="B42" s="16" t="inlineStr">
        <is>
          <t>果冻</t>
        </is>
      </c>
      <c r="C42" s="16" t="n">
        <v>3</v>
      </c>
      <c r="D42" s="16" t="n">
        <v>262.5</v>
      </c>
      <c r="E42" s="16">
        <f>C42*D42</f>
        <v/>
      </c>
      <c r="F42" s="16" t="inlineStr">
        <is>
          <t>山梨酸及其钾盐(以山梨酸计)(未匹配)、苯甲酸及其钠盐(以苯甲酸计)(未匹配)、糖精钠(以糖精计)(未匹配)、甜蜜素(以环己基氨基磺酸计)(未匹配)、安赛蜜(52.5)、菌落总数(52.5)、大肠菌群(52.5)、霉菌(52.5)、酵母(52.5)</t>
        </is>
      </c>
    </row>
    <row r="43" ht="78" customHeight="1" s="4">
      <c r="A43" s="16" t="inlineStr">
        <is>
          <t>2026年江苏苏州吴中春节专项抽检计划</t>
        </is>
      </c>
      <c r="B43" s="16" t="inlineStr">
        <is>
          <t>蜜饯类、凉果类、果脯类、话化类、果糕类</t>
        </is>
      </c>
      <c r="C43" s="16" t="n">
        <v>4</v>
      </c>
      <c r="D43" s="16" t="n">
        <v>420</v>
      </c>
      <c r="E43" s="16">
        <f>C43*D43</f>
        <v/>
      </c>
      <c r="F43" s="16" t="inlineStr">
        <is>
          <t>铅(以Pb计)(未匹配)、苯甲酸及其钠盐(以苯甲酸计)(未匹配)、山梨酸及其钾盐(以山梨酸计)(未匹配)、脱氢乙酸及其钠盐(以脱氢乙酸计)(未匹配)、糖精钠(以糖精计)(未匹配)、甜蜜素(以环己基氨基磺酸计)(未匹配)、安赛蜜(52.5)、二氧化硫残留量(未匹配)、柠檬黄(52.5)、日落黄(52.5)、苋菜红(52.5)、菌落总数(52.5)、大肠菌群(52.5)、霉菌(52.5)、诱惑红(52.5)</t>
        </is>
      </c>
    </row>
    <row r="44" ht="93.59999999999999" customHeight="1" s="4">
      <c r="A44" s="16" t="inlineStr">
        <is>
          <t>2026年江苏苏州吴中普通食品抽检计划</t>
        </is>
      </c>
      <c r="B44" s="16" t="inlineStr">
        <is>
          <t>调味面制品</t>
        </is>
      </c>
      <c r="C44" s="16" t="n">
        <v>9</v>
      </c>
      <c r="D44" s="16" t="n">
        <v>665</v>
      </c>
      <c r="E44" s="16">
        <f>C44*D44</f>
        <v/>
      </c>
      <c r="F44" s="16" t="inlineStr">
        <is>
          <t>酸价(以脂肪计)(KOH)(未匹配)、过氧化值(以脂肪计)(35)、苯甲酸及其钠盐(以苯甲酸计)(未匹配)、山梨酸及其钾盐(以山梨酸计)(未匹配)、脱氢乙酸及其钠盐(以脱氢乙酸计)(未匹配)、糖精钠(以糖精计)(未匹配)、甜蜜素(以环己基氨基磺酸计)(未匹配)、安赛蜜(52.5)、三氯蔗糖(70)、柠檬黄(52.5)、日落黄(52.5)、诱惑红(52.5)、苋菜红(52.5)、菌落总数(52.5)、大肠菌群(52.5)、霉菌(52.5)、沙门氏菌(70)、金黄色葡萄球菌(70)</t>
        </is>
      </c>
    </row>
    <row r="45" ht="78" customHeight="1" s="4">
      <c r="A45" s="16" t="inlineStr">
        <is>
          <t>2026年江苏苏州吴中普通食品抽检计划</t>
        </is>
      </c>
      <c r="B45" s="16" t="inlineStr">
        <is>
          <t>调味面制品</t>
        </is>
      </c>
      <c r="C45" s="16" t="n">
        <v>1</v>
      </c>
      <c r="D45" s="16" t="n">
        <v>630</v>
      </c>
      <c r="E45" s="16">
        <f>C45*D45</f>
        <v/>
      </c>
      <c r="F45" s="16" t="inlineStr">
        <is>
          <t>苯甲酸及其钠盐(以苯甲酸计)(未匹配)、山梨酸及其钾盐(以山梨酸计)(未匹配)、脱氢乙酸及其钠盐(以脱氢乙酸计)(未匹配)、糖精钠(以糖精计)(未匹配)、甜蜜素(以环己基氨基磺酸计)(未匹配)、安赛蜜(52.5)、三氯蔗糖(70)、柠檬黄(52.5)、日落黄(52.5)、诱惑红(52.5)、苋菜红(52.5)、菌落总数(52.5)、大肠菌群(52.5)、霉菌(52.5)、沙门氏菌(70)、金黄色葡萄球菌(70)</t>
        </is>
      </c>
    </row>
    <row r="46" ht="78" customHeight="1" s="4">
      <c r="A46" s="16" t="inlineStr">
        <is>
          <t>2026年江苏苏州吴中春节专项抽检计划</t>
        </is>
      </c>
      <c r="B46" s="16" t="inlineStr">
        <is>
          <t>开心果、杏仁、扁桃仁、松仁、瓜子</t>
        </is>
      </c>
      <c r="C46" s="16" t="n">
        <v>2</v>
      </c>
      <c r="D46" s="16" t="n">
        <v>192.5</v>
      </c>
      <c r="E46" s="16">
        <f>C46*D46</f>
        <v/>
      </c>
      <c r="F46" s="16" t="inlineStr">
        <is>
          <t>酸价(以脂肪计)(KOH)(未匹配)、过氧化值(以脂肪计)(35)、铅(以Pb计)(未匹配)、黄曲霉毒素B₁(未匹配)、苯甲酸及其钠盐(以苯甲酸计)(未匹配)、山梨酸及其钾盐(以山梨酸计)(未匹配)、脱氢乙酸及其钠盐(以脱氢乙酸计)(未匹配)、二氧化硫残留量(未匹配)、糖精钠(以糖精计)(未匹配)、甜蜜素(以环己基氨基磺酸计)(未匹配)、安赛蜜(52.5)、大肠菌群(52.5)、霉菌(52.5)</t>
        </is>
      </c>
    </row>
    <row r="47" ht="78" customHeight="1" s="4">
      <c r="A47" s="16" t="inlineStr">
        <is>
          <t>2026年江苏苏州吴中春节专项抽检计划</t>
        </is>
      </c>
      <c r="B47" s="16" t="inlineStr">
        <is>
          <t>其他炒货食品及坚果制品</t>
        </is>
      </c>
      <c r="C47" s="16" t="n">
        <v>12</v>
      </c>
      <c r="D47" s="16" t="n">
        <v>140</v>
      </c>
      <c r="E47" s="16">
        <f>C47*D47</f>
        <v/>
      </c>
      <c r="F47" s="16" t="inlineStr">
        <is>
          <t>酸价(以脂肪计)(KOH)(未匹配)、过氧化值(以脂肪计)(35)、铅(以Pb计)(未匹配)、黄曲霉毒素B₁(未匹配)、苯甲酸及其钠盐(以苯甲酸计)(未匹配)、山梨酸及其钾盐(以山梨酸计)(未匹配)、脱氢乙酸及其钠盐(以脱氢乙酸计)(未匹配)、二氧化硫残留量(未匹配)、糖精钠(以糖精计)(未匹配)、甜蜜素(以环己基氨基磺酸计)(未匹配)、安赛蜜(52.5)、大肠菌群(52.5)</t>
        </is>
      </c>
    </row>
    <row r="48" ht="78" customHeight="1" s="4">
      <c r="A48" s="16" t="inlineStr">
        <is>
          <t>2026年江苏苏州吴中普通食品抽检计划</t>
        </is>
      </c>
      <c r="B48" s="16" t="inlineStr">
        <is>
          <t>熏煮香肠火腿制品</t>
        </is>
      </c>
      <c r="C48" s="16" t="n">
        <v>5</v>
      </c>
      <c r="D48" s="16" t="n">
        <v>595</v>
      </c>
      <c r="E48" s="16">
        <f>C48*D48</f>
        <v/>
      </c>
      <c r="F48" s="16" t="inlineStr">
        <is>
          <t>亚硝酸盐(以亚硝酸钠计)(未匹配)、苯甲酸及其钠盐(以苯甲酸计)(未匹配)、山梨酸及其钾盐(以山梨酸计)(未匹配)、脱氢乙酸及其钠盐(以脱氢乙酸计)(未匹配)、纳他霉素(70)、胭脂红(52.5)、诱惑红(52.5)、氯霉素(105)、菌落总数(52.5)、大肠菌群(52.5)、沙门氏菌(70)、金黄色葡萄球菌(70)、单核细胞增生李斯特氏菌(70)</t>
        </is>
      </c>
    </row>
    <row r="49" ht="62.4" customHeight="1" s="4">
      <c r="A49" s="16" t="inlineStr">
        <is>
          <t>2026年江苏苏州吴中春节专项抽检计划</t>
        </is>
      </c>
      <c r="B49" s="16" t="inlineStr">
        <is>
          <t>其他炒货食品及坚果制品</t>
        </is>
      </c>
      <c r="C49" s="16" t="n">
        <v>2</v>
      </c>
      <c r="D49" s="16" t="n">
        <v>140</v>
      </c>
      <c r="E49" s="16">
        <f>C49*D49</f>
        <v/>
      </c>
      <c r="F49" s="16" t="inlineStr">
        <is>
          <t>酸价(以脂肪计)(KOH)(未匹配)、过氧化值(以脂肪计)(35)、铅(以Pb计)(未匹配)、二氧化硫残留量(未匹配)、糖精钠(以糖精计)(未匹配)、甜蜜素(以环己基氨基磺酸计)(未匹配)、安赛蜜(52.5)、大肠菌群(52.5)</t>
        </is>
      </c>
    </row>
    <row r="50" ht="78" customHeight="1" s="4">
      <c r="A50" s="16" t="inlineStr">
        <is>
          <t>2026年江苏苏州吴中春节专项抽检计划</t>
        </is>
      </c>
      <c r="B50" s="16" t="inlineStr">
        <is>
          <t>蜜饯类、凉果类、果脯类、话化类、果糕类</t>
        </is>
      </c>
      <c r="C50" s="16" t="n">
        <v>1</v>
      </c>
      <c r="D50" s="16" t="n">
        <v>262.5</v>
      </c>
      <c r="E50" s="16">
        <f>C50*D50</f>
        <v/>
      </c>
      <c r="F50" s="16" t="inlineStr">
        <is>
          <t>铅(以Pb计)(未匹配)、苯甲酸及其钠盐(以苯甲酸计)(未匹配)、山梨酸及其钾盐(以山梨酸计)(未匹配)、脱氢乙酸及其钠盐(以脱氢乙酸计)(未匹配)、糖精钠(以糖精计)(未匹配)、甜蜜素(以环己基氨基磺酸计)(未匹配)、安赛蜜(52.5)、二氧化硫残留量(未匹配)、柠檬黄(52.5)、日落黄(52.5)、苋菜红(52.5)、诱惑红(52.5)</t>
        </is>
      </c>
    </row>
    <row r="51" ht="93.59999999999999" customHeight="1" s="4">
      <c r="A51" s="16" t="inlineStr">
        <is>
          <t>2026年江苏苏州吴中普通食品抽检计划</t>
        </is>
      </c>
      <c r="B51" s="16" t="inlineStr">
        <is>
          <t>饼干</t>
        </is>
      </c>
      <c r="C51" s="16" t="n">
        <v>2</v>
      </c>
      <c r="D51" s="16" t="n">
        <v>507.5</v>
      </c>
      <c r="E51" s="16">
        <f>C51*D51</f>
        <v/>
      </c>
      <c r="F51" s="16" t="inlineStr">
        <is>
          <t>山梨酸及其钾盐(以山梨酸计)(未匹配)、铝的残留量(干样品,以Al计)(未匹配)、脱氢乙酸及其钠盐(以脱氢乙酸计)(未匹配)、甜蜜素(以环己基氨基磺酸计)(未匹配)、糖精钠(以糖精计)(未匹配)、二氧化硫残留量(未匹配)、苯甲酸及其钠盐(以苯甲酸计)(未匹配)、柠檬黄(52.5)、日落黄(52.5)、胭脂红(52.5)、苋菜红(52.5)、菌落总数(52.5)、大肠菌群(52.5)、金黄色葡萄球菌(70)、沙门氏菌(70)、霉菌(52.5)</t>
        </is>
      </c>
    </row>
    <row r="52" ht="93.59999999999999" customHeight="1" s="4">
      <c r="A52" s="16" t="inlineStr">
        <is>
          <t>2026年江苏苏州吴中普通食品抽检计划</t>
        </is>
      </c>
      <c r="B52" s="16" t="inlineStr">
        <is>
          <t>面包</t>
        </is>
      </c>
      <c r="C52" s="16" t="n">
        <v>1</v>
      </c>
      <c r="D52" s="16" t="n">
        <v>665</v>
      </c>
      <c r="E52" s="16">
        <f>C52*D52</f>
        <v/>
      </c>
      <c r="F52" s="16" t="inlineStr">
        <is>
          <t>过氧化值(以脂肪计)(35)、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三氯蔗糖(70)、柠檬黄(52.5)、日落黄(52.5)、胭脂红(52.5)、苋菜红(52.5)、菌落总数(52.5)、大肠菌群(52.5)、金黄色葡萄球菌(70)、沙门氏菌(70)、霉菌(52.5)</t>
        </is>
      </c>
    </row>
    <row r="53" ht="96" customHeight="1" s="4">
      <c r="A53" s="16" t="inlineStr">
        <is>
          <t>2026年江苏苏州吴中普通食品抽检计划</t>
        </is>
      </c>
      <c r="B53" s="16" t="inlineStr">
        <is>
          <t>糕点</t>
        </is>
      </c>
      <c r="C53" s="16" t="n">
        <v>5</v>
      </c>
      <c r="D53" s="16" t="n">
        <v>787.5</v>
      </c>
      <c r="E53" s="16">
        <f>C53*D53</f>
        <v/>
      </c>
      <c r="F53" s="16" t="inlineStr">
        <is>
          <t>酸价(以脂肪计)(KOH)(未匹配)、过氧化值(以脂肪计)(35)、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纳他霉素(70)、三氯蔗糖(70)、丙二醇(52.5)、柠檬黄(52.5)、日落黄(52.5)、苋菜红(52.5)、诱惑红(52.5)、菌落总数(52.5)、大肠菌群(52.5)、金黄色葡萄球菌(70)、沙门氏菌(70)、霉菌(52.5)</t>
        </is>
      </c>
    </row>
    <row r="54" ht="96" customHeight="1" s="4">
      <c r="A54" s="16" t="inlineStr">
        <is>
          <t>2026年江苏苏州吴中普通食品抽检计划</t>
        </is>
      </c>
      <c r="B54" s="16" t="inlineStr">
        <is>
          <t>糕点</t>
        </is>
      </c>
      <c r="C54" s="16" t="n">
        <v>3</v>
      </c>
      <c r="D54" s="16" t="n">
        <v>787.5</v>
      </c>
      <c r="E54" s="16">
        <f>C54*D54</f>
        <v/>
      </c>
      <c r="F54" s="16" t="inlineStr">
        <is>
          <t>酸价(以脂肪计)(KOH)(未匹配)、过氧化值(以脂肪计)(35)、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纳他霉素(70)、三氯蔗糖(70)、丙二醇(52.5)、柠檬黄(52.5)、日落黄(52.5)、胭脂红(52.5)、苋菜红(52.5)、菌落总数(52.5)、大肠菌群(52.5)、金黄色葡萄球菌(70)、沙门氏菌(70)、霉菌(52.5)</t>
        </is>
      </c>
    </row>
    <row r="55" ht="96" customHeight="1" s="4">
      <c r="A55" s="16" t="inlineStr">
        <is>
          <t>2026年江苏苏州吴中春节专项抽检计划</t>
        </is>
      </c>
      <c r="B55" s="16" t="inlineStr">
        <is>
          <t>面包</t>
        </is>
      </c>
      <c r="C55" s="16" t="n">
        <v>1</v>
      </c>
      <c r="D55" s="16" t="n">
        <v>665</v>
      </c>
      <c r="E55" s="16">
        <f>C55*D55</f>
        <v/>
      </c>
      <c r="F55" s="16" t="inlineStr">
        <is>
          <t>酸价(以脂肪计)(KOH)(未匹配)、过氧化值(以脂肪计)(35)、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三氯蔗糖(70)、柠檬黄(52.5)、日落黄(52.5)、胭脂红(52.5)、苋菜红(52.5)、菌落总数(52.5)、大肠菌群(52.5)、金黄色葡萄球菌(70)、沙门氏菌(70)、霉菌(52.5)</t>
        </is>
      </c>
    </row>
    <row r="56" ht="93.59999999999999" customHeight="1" s="4">
      <c r="A56" s="16" t="inlineStr">
        <is>
          <t>2026年江苏苏州吴中普通食品抽检计划</t>
        </is>
      </c>
      <c r="B56" s="16" t="inlineStr">
        <is>
          <t>酱卤肉制品</t>
        </is>
      </c>
      <c r="C56" s="16" t="n">
        <v>3</v>
      </c>
      <c r="D56" s="16" t="n">
        <v>805</v>
      </c>
      <c r="E56" s="16">
        <f>C56*D56</f>
        <v/>
      </c>
      <c r="F56" s="16" t="inlineStr">
        <is>
          <t>镉(以Cd计)(未匹配)、铬(以Cr计)(未匹配)、总砷(以As计)(未匹配)、N-二甲基亚硝胺(105)、亚硝酸盐(以亚硝酸钠计)(未匹配)、苯甲酸及其钠盐(以苯甲酸计)(未匹配)、山梨酸及其钾盐(以山梨酸计)(未匹配)、脱氢乙酸及其钠盐(以脱氢乙酸计)(未匹配)、纳他霉素(70)、糖精钠(以糖精计)(未匹配)、柠檬黄(52.5)、日落黄(52.5)、胭脂红(52.5)、诱惑红(52.5)、氯霉素(105)、菌落总数(52.5)、大肠菌群(52.5)、沙门氏菌(70)、金黄色葡萄球菌(70)、单核细胞增生李斯特氏菌(70)</t>
        </is>
      </c>
    </row>
    <row r="57" ht="78" customHeight="1" s="4">
      <c r="A57" s="16" t="inlineStr">
        <is>
          <t>2026年江苏苏州吴中春节专项抽检计划</t>
        </is>
      </c>
      <c r="B57" s="16" t="inlineStr">
        <is>
          <t>蜜饯类、凉果类、果脯类、话化类、果糕类</t>
        </is>
      </c>
      <c r="C57" s="16" t="n">
        <v>2</v>
      </c>
      <c r="D57" s="16" t="n">
        <v>472.5</v>
      </c>
      <c r="E57" s="16">
        <f>C57*D57</f>
        <v/>
      </c>
      <c r="F57" s="16" t="inlineStr">
        <is>
          <t>铅(以Pb计)(未匹配)、苯甲酸及其钠盐(以苯甲酸计)(未匹配)、山梨酸及其钾盐(以山梨酸计)(未匹配)、脱氢乙酸及其钠盐(以脱氢乙酸计)(未匹配)、糖精钠(以糖精计)(未匹配)、甜蜜素(以环己基氨基磺酸计)(未匹配)、安赛蜜(52.5)、二氧化硫残留量(未匹配)、柠檬黄(52.5)、日落黄(52.5)、苋菜红(52.5)、胭脂红(52.5)、乙二胺四乙酸二钠(52.5)、菌落总数(52.5)、大肠菌群(52.5)、霉菌(52.5)</t>
        </is>
      </c>
    </row>
    <row r="58" ht="96" customHeight="1" s="4">
      <c r="A58" s="16" t="inlineStr">
        <is>
          <t>2026年江苏苏州吴中春节专项抽检计划</t>
        </is>
      </c>
      <c r="B58" s="16" t="inlineStr">
        <is>
          <t>糕点</t>
        </is>
      </c>
      <c r="C58" s="16" t="n">
        <v>3</v>
      </c>
      <c r="D58" s="16" t="n">
        <v>787.5</v>
      </c>
      <c r="E58" s="16">
        <f>C58*D58</f>
        <v/>
      </c>
      <c r="F58" s="16" t="inlineStr">
        <is>
          <t>酸价(以脂肪计)(KOH)(未匹配)、过氧化值(以脂肪计)(35)、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纳他霉素(70)、三氯蔗糖(70)、丙二醇(52.5)、柠檬黄(52.5)、日落黄(52.5)、苋菜红(52.5)、诱惑红(52.5)、菌落总数(52.5)、大肠菌群(52.5)、金黄色葡萄球菌(70)、沙门氏菌(70)、霉菌(52.5)</t>
        </is>
      </c>
    </row>
    <row r="59" ht="93.59999999999999" customHeight="1" s="4">
      <c r="A59" s="16" t="inlineStr">
        <is>
          <t>2026年江苏苏州吴中春节专项抽检计划</t>
        </is>
      </c>
      <c r="B59" s="16" t="inlineStr">
        <is>
          <t>糕点</t>
        </is>
      </c>
      <c r="C59" s="16" t="n">
        <v>1</v>
      </c>
      <c r="D59" s="16" t="n">
        <v>752.5</v>
      </c>
      <c r="E59" s="16">
        <f>C59*D59</f>
        <v/>
      </c>
      <c r="F59" s="16" t="inlineStr">
        <is>
          <t>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纳他霉素(70)、三氯蔗糖(70)、丙二醇(52.5)、柠檬黄(52.5)、日落黄(52.5)、胭脂红(52.5)、苋菜红(52.5)、菌落总数(52.5)、大肠菌群(52.5)、金黄色葡萄球菌(70)、沙门氏菌(70)、霉菌(52.5)</t>
        </is>
      </c>
    </row>
    <row r="60" ht="96" customHeight="1" s="4">
      <c r="A60" s="16" t="inlineStr">
        <is>
          <t>2026年江苏苏州吴中普通食品抽检计划</t>
        </is>
      </c>
      <c r="B60" s="16" t="inlineStr">
        <is>
          <t>面包</t>
        </is>
      </c>
      <c r="C60" s="16" t="n">
        <v>2</v>
      </c>
      <c r="D60" s="16" t="n">
        <v>665</v>
      </c>
      <c r="E60" s="16">
        <f>C60*D60</f>
        <v/>
      </c>
      <c r="F60" s="16" t="inlineStr">
        <is>
          <t>酸价(以脂肪计)(KOH)(未匹配)、过氧化值(以脂肪计)(35)、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三氯蔗糖(70)、柠檬黄(52.5)、日落黄(52.5)、胭脂红(52.5)、苋菜红(52.5)、菌落总数(52.5)、大肠菌群(52.5)、金黄色葡萄球菌(70)、沙门氏菌(70)、霉菌(52.5)</t>
        </is>
      </c>
    </row>
    <row r="61" ht="93.59999999999999" customHeight="1" s="4">
      <c r="A61" s="16" t="inlineStr">
        <is>
          <t>2026年江苏苏州吴中普通食品抽检计划</t>
        </is>
      </c>
      <c r="B61" s="16" t="inlineStr">
        <is>
          <t>面包</t>
        </is>
      </c>
      <c r="C61" s="16" t="n">
        <v>2</v>
      </c>
      <c r="D61" s="16" t="n">
        <v>630</v>
      </c>
      <c r="E61" s="16">
        <f>C61*D61</f>
        <v/>
      </c>
      <c r="F61" s="16" t="inlineStr">
        <is>
          <t>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三氯蔗糖(70)、柠檬黄(52.5)、日落黄(52.5)、胭脂红(52.5)、苋菜红(52.5)、菌落总数(52.5)、大肠菌群(52.5)、金黄色葡萄球菌(70)、沙门氏菌(70)、霉菌(52.5)</t>
        </is>
      </c>
    </row>
    <row r="62" ht="93.59999999999999" customHeight="1" s="4">
      <c r="A62" s="16" t="inlineStr">
        <is>
          <t>2026年江苏苏州吴中普通食品抽检计划</t>
        </is>
      </c>
      <c r="B62" s="16" t="inlineStr">
        <is>
          <t>饼干</t>
        </is>
      </c>
      <c r="C62" s="16" t="n">
        <v>3</v>
      </c>
      <c r="D62" s="16" t="n">
        <v>542.5</v>
      </c>
      <c r="E62" s="16">
        <f>C62*D62</f>
        <v/>
      </c>
      <c r="F62" s="16" t="inlineStr">
        <is>
          <t>酸价(以脂肪计)(KOH)(未匹配)、过氧化值(以脂肪计)(35)、山梨酸及其钾盐(以山梨酸计)(未匹配)、铝的残留量(干样品,以Al计)(未匹配)、脱氢乙酸及其钠盐(以脱氢乙酸计)(未匹配)、甜蜜素(以环己基氨基磺酸计)(未匹配)、糖精钠(以糖精计)(未匹配)、二氧化硫残留量(未匹配)、苯甲酸及其钠盐(以苯甲酸计)(未匹配)、柠檬黄(52.5)、日落黄(52.5)、胭脂红(52.5)、苋菜红(52.5)、菌落总数(52.5)、大肠菌群(52.5)、金黄色葡萄球菌(70)、沙门氏菌(70)、霉菌(52.5)</t>
        </is>
      </c>
    </row>
    <row r="63" ht="96" customHeight="1" s="4">
      <c r="A63" s="16" t="inlineStr">
        <is>
          <t>2026年江苏苏州吴中普通食品抽检计划</t>
        </is>
      </c>
      <c r="B63" s="16" t="inlineStr">
        <is>
          <t>糕点</t>
        </is>
      </c>
      <c r="C63" s="16" t="n">
        <v>1</v>
      </c>
      <c r="D63" s="16" t="n">
        <v>787.5</v>
      </c>
      <c r="E63" s="16">
        <f>C63*D63</f>
        <v/>
      </c>
      <c r="F63" s="16" t="inlineStr">
        <is>
          <t>过氧化值(以脂肪计)(35)、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纳他霉素(70)、三氯蔗糖(70)、丙二醇(52.5)、柠檬黄(52.5)、日落黄(52.5)、胭脂红(52.5)、苋菜红(52.5)、菌落总数(52.5)、大肠菌群(52.5)、金黄色葡萄球菌(70)、沙门氏菌(70)、霉菌(52.5)</t>
        </is>
      </c>
    </row>
    <row r="64" ht="78" customHeight="1" s="4">
      <c r="A64" s="16" t="inlineStr">
        <is>
          <t>2026年江苏苏州吴中普通食品抽检计划</t>
        </is>
      </c>
      <c r="B64" s="16" t="inlineStr">
        <is>
          <t>酱腌菜</t>
        </is>
      </c>
      <c r="C64" s="16" t="n">
        <v>1</v>
      </c>
      <c r="D64" s="16" t="n">
        <v>262.5</v>
      </c>
      <c r="E64" s="16">
        <f>C64*D64</f>
        <v/>
      </c>
      <c r="F64" s="16" t="inlineStr">
        <is>
          <t>铅(以Pb计)(未匹配)、亚硝酸盐(以NaNO₂计)(未匹配)、苯甲酸及其钠盐(以苯甲酸计)(未匹配)、山梨酸及其钾盐(以山梨酸计)(未匹配)、脱氢乙酸及其钠盐(以脱氢乙酸计)(未匹配)、糖精钠(以糖精计)(未匹配)、甜蜜素(以环己基氨基磺酸计)(未匹配)、二氧化硫残留量(未匹配)、安赛蜜(52.5)、柠檬黄(52.5)、日落黄(52.5)、诱惑红(52.5)、大肠菌群(52.5)</t>
        </is>
      </c>
    </row>
    <row r="65" ht="46.8" customHeight="1" s="4">
      <c r="A65" s="16" t="inlineStr">
        <is>
          <t>2026年江苏苏州吴中普通食品抽检计划</t>
        </is>
      </c>
      <c r="B65" s="16" t="inlineStr">
        <is>
          <t>鸡蛋</t>
        </is>
      </c>
      <c r="C65" s="16" t="n">
        <v>1</v>
      </c>
      <c r="D65" s="16" t="n">
        <v>630</v>
      </c>
      <c r="E65" s="16">
        <f>C65*D65</f>
        <v/>
      </c>
      <c r="F65" s="16" t="inlineStr">
        <is>
          <t>甲硝唑(70)、地美硝唑(70)、氯霉素(105)、氟苯尼考(未匹配)、甲砜霉素(105)、恩诺沙星(未匹配)、氧氟沙星(105)、沙拉沙星(105)、甲氧苄啶(70)、多西环素(未匹配)</t>
        </is>
      </c>
    </row>
    <row r="66" ht="46.8" customHeight="1" s="4">
      <c r="A66" s="16" t="inlineStr">
        <is>
          <t>2026年江苏苏州吴中普通食品抽检计划</t>
        </is>
      </c>
      <c r="B66" s="16" t="inlineStr">
        <is>
          <t>鲜食用菌</t>
        </is>
      </c>
      <c r="C66" s="16" t="n">
        <v>2</v>
      </c>
      <c r="D66" s="16" t="n">
        <v>210</v>
      </c>
      <c r="E66" s="16">
        <f>C66*D66</f>
        <v/>
      </c>
      <c r="F66" s="16" t="inlineStr">
        <is>
          <t>镉(以Cd计)(未匹配)、无机砷(以As计)(未匹配)、百菌清(52.5)、除虫脲(52.5)、氯氟氰菊酯和高效氯氟氰菊酯(52.5)、氯氰菊酯和高效氯氰菊酯(52.5)</t>
        </is>
      </c>
    </row>
    <row r="67" ht="96" customHeight="1" s="4">
      <c r="A67" s="16" t="inlineStr">
        <is>
          <t>2026年江苏苏州吴中普通食品抽检计划</t>
        </is>
      </c>
      <c r="B67" s="16" t="inlineStr">
        <is>
          <t>糕点</t>
        </is>
      </c>
      <c r="C67" s="16" t="n">
        <v>2</v>
      </c>
      <c r="D67" s="16" t="n">
        <v>787.5</v>
      </c>
      <c r="E67" s="16">
        <f>C67*D67</f>
        <v/>
      </c>
      <c r="F67" s="16" t="inlineStr">
        <is>
          <t>过氧化值(以脂肪计)(35)、铅(以Pb计)(未匹配)、苯甲酸及其钠盐(以苯甲酸计)(未匹配)、山梨酸及其钾盐(以山梨酸计)(未匹配)、糖精钠(以糖精计)(未匹配)、甜蜜素(以环己基氨基磺酸计)(未匹配)、安赛蜜(52.5)、铝的残留量(干样品,以Al计)(未匹配)、丙酸及其盐(以丙酸计)(未匹配)、脱氢乙酸及其钠盐(以脱氢乙酸计)(未匹配)、纳他霉素(70)、三氯蔗糖(70)、丙二醇(52.5)、柠檬黄(52.5)、日落黄(52.5)、苋菜红(52.5)、诱惑红(52.5)、菌落总数(52.5)、大肠菌群(52.5)、金黄色葡萄球菌(70)、沙门氏菌(70)、霉菌(52.5)</t>
        </is>
      </c>
    </row>
    <row r="68" ht="78" customHeight="1" s="4">
      <c r="A68" s="16" t="inlineStr">
        <is>
          <t>2026年江苏苏州吴中普通食品抽检计划</t>
        </is>
      </c>
      <c r="B68" s="16" t="inlineStr">
        <is>
          <t>酱卤肉制品</t>
        </is>
      </c>
      <c r="C68" s="16" t="n">
        <v>1</v>
      </c>
      <c r="D68" s="16" t="n">
        <v>490</v>
      </c>
      <c r="E68" s="16">
        <f>C68*D68</f>
        <v/>
      </c>
      <c r="F68" s="16" t="inlineStr">
        <is>
          <t>镉(以Cd计)(未匹配)、铬(以Cr计)(未匹配)、总砷(以As计)(未匹配)、N-二甲基亚硝胺(105)、亚硝酸盐(以亚硝酸钠计)(未匹配)、苯甲酸及其钠盐(以苯甲酸计)(未匹配)、山梨酸及其钾盐(以山梨酸计)(未匹配)、脱氢乙酸及其钠盐(以脱氢乙酸计)(未匹配)、纳他霉素(70)、糖精钠(以糖精计)(未匹配)、柠檬黄(52.5)、日落黄(52.5)、胭脂红(52.5)、诱惑红(52.5)、氯霉素(105)</t>
        </is>
      </c>
    </row>
    <row r="69" ht="46.8" customHeight="1" s="4">
      <c r="A69" s="16" t="inlineStr">
        <is>
          <t>2026年江苏苏州吴中春节专项抽检计划</t>
        </is>
      </c>
      <c r="B69" s="16" t="inlineStr">
        <is>
          <t>其他蔬菜制品</t>
        </is>
      </c>
      <c r="C69" s="16" t="n">
        <v>1</v>
      </c>
      <c r="D69" s="16" t="n">
        <v>0</v>
      </c>
      <c r="E69" s="16">
        <f>C69*D69</f>
        <v/>
      </c>
      <c r="F69" s="16" t="inlineStr">
        <is>
          <t>铅(以Pb计)(未匹配)、苯甲酸及其钠盐(以苯甲酸计)(未匹配)、山梨酸及其钾盐(以山梨酸计)(未匹配)、脱氢乙酸及其钠盐(以脱氢乙酸计)(未匹配)、二氧化硫残留量(未匹配)</t>
        </is>
      </c>
    </row>
    <row r="70" ht="32" customHeight="1" s="4">
      <c r="A70" s="17" t="inlineStr">
        <is>
          <t>合计</t>
        </is>
      </c>
      <c r="B70" s="16" t="n"/>
      <c r="C70" s="16">
        <f>SUM(C4:C69)</f>
        <v/>
      </c>
      <c r="D70" s="16" t="inlineStr">
        <is>
          <t>/</t>
        </is>
      </c>
      <c r="E70" s="16">
        <f>SUM(E4:E69)</f>
        <v/>
      </c>
      <c r="F70" s="16" t="inlineStr">
        <is>
          <t>/</t>
        </is>
      </c>
    </row>
  </sheetData>
  <autoFilter ref="A3:P71"/>
  <mergeCells count="3">
    <mergeCell ref="B2:F2"/>
    <mergeCell ref="A70:B70"/>
    <mergeCell ref="B1:F1"/>
  </mergeCells>
  <printOptions horizontalCentered="1"/>
  <pageMargins left="0.747916666666667" right="0.747916666666667" top="0.9840277777777779" bottom="0.9840277777777779" header="0.511805555555556" footer="0.511805555555556"/>
  <pageSetup orientation="landscape" paperSize="9" scale="61" fitToHeight="0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1996-12-17T01:32:00Z</dcterms:created>
  <dcterms:modified xsi:type="dcterms:W3CDTF">2026-08-22T05:21:28Z</dcterms:modified>
  <cp:lastModifiedBy>抱着如来佛的大腿</cp:lastModifiedBy>
  <cp:lastPrinted>2017-04-24T06:21:00Z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8FD3A499F188455682AE39425C31EABD_13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