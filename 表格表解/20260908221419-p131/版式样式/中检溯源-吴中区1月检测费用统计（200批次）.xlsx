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Sheet1!$A$3:$P$71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<sst xmlns="http://schemas.openxmlformats.org/spreadsheetml/2006/main" count="212" uniqueCount="123">
  <si>
    <t>2026年1月检测费用统计表</t>
  </si>
  <si>
    <t>检测机构名称（公章）:中检溯源江苏技术服务有限公司</t>
  </si>
  <si>
    <t>任务类别
（报送分类B）</t>
  </si>
  <si>
    <t>抽样品种</t>
  </si>
  <si>
    <t>批次数</t>
  </si>
  <si>
    <t>检测单价</t>
  </si>
  <si>
    <t>检测费（元）</t>
  </si>
  <si>
    <t>检验项目</t>
  </si>
  <si>
    <t>2026年江苏苏州吴中春节专项抽检计划</t>
  </si>
  <si>
    <t>料酒</t>
  </si>
  <si>
    <t>氨基酸态氮(以氮计)(30)、苯甲酸及其钠盐(以苯甲酸计)(45)、山梨酸及其钾盐(以山梨酸计)(45)、脱氢乙酸及其钠盐(以脱氢乙酸计)(60)、甜蜜素(以环己基氨基磺酸计)(45)、三氯蔗糖(60)</t>
  </si>
  <si>
    <t>调制乳</t>
  </si>
  <si>
    <t>蛋白质(30)、三聚氰胺(90)、铅(以Pb计)(45)、商业无菌(30)</t>
  </si>
  <si>
    <t>水果干制品(含干枸杞)</t>
  </si>
  <si>
    <t>铅(以Pb计)(45)、山梨酸及其钾盐(以山梨酸计)(45)、糖精钠(以糖精计)(45)、二氧化硫残留量(24)、柠檬黄(45)、日落黄(45)、胭脂红(45)、诱惑红(45)</t>
  </si>
  <si>
    <t>其他蔬菜制品</t>
  </si>
  <si>
    <t>铅(以Pb计)(45)、苯甲酸及其钠盐(以苯甲酸计)(45)、山梨酸及其钾盐(以山梨酸计)(45)、脱氢乙酸及其钠盐(以脱氢乙酸计)(60)、二氧化硫残留量(24)</t>
  </si>
  <si>
    <t>低钠食用盐</t>
  </si>
  <si>
    <t>氯化钾(以干基计)(30)、钡(以Ba计)(45)、碘(以I计)(24)、铅(以Pb计)(45)、镉(以Cd计)(45)、总汞(以Hg计)(45)、亚铁氰化钾/亚铁氰化钠(以亚铁氰根计)(45)、总砷(以As计)(45)</t>
  </si>
  <si>
    <t>开心果、杏仁、扁桃仁、松仁、瓜子</t>
  </si>
  <si>
    <t>酸价(以脂肪计)(KOH)(30)、过氧化值(以脂肪计)(30)、铅(以Pb计)(45)、黄曲霉毒素B₁(90)、苯甲酸及其钠盐(以苯甲酸计)(45)、山梨酸及其钾盐(以山梨酸计)(45)、脱氢乙酸及其钠盐(以脱氢乙酸计)(60)、二氧化硫残留量(24)、糖精钠(以糖精计)(45)、甜蜜素(以环己基氨基磺酸计)(45)、安赛蜜(45)、大肠菌群(45)、霉菌(45)</t>
  </si>
  <si>
    <t>其他饮料</t>
  </si>
  <si>
    <t>苯甲酸及其钠盐(以苯甲酸计)(45)、山梨酸及其钾盐(以山梨酸计)(45)、脱氢乙酸及其钠盐(以脱氢乙酸计)(60)、糖精钠(以糖精计)(45)、安赛蜜(45)、甜蜜素(以环己基氨基磺酸计)(45)、阿斯巴甜(45)、柠檬黄(45)、新红(45)、日落黄(45)、诱惑红(45)、菌落总数(45)、大肠菌群(45)、霉菌(45)、酵母(45)</t>
  </si>
  <si>
    <t>特殊工艺食用盐</t>
  </si>
  <si>
    <t>氯化钠(以干基计)(30)、碘(以I计)(24)、铅(以Pb计)(45)、镉(以Cd计)(45)、总汞(以Hg计)(45)、亚铁氰化钾/亚铁氰化钠(以亚铁氰根计)(45)、总砷(以As计)(45)</t>
  </si>
  <si>
    <t>氯化钠(以干基计)(30)、钡(以Ba计)(45)、碘(以I计)(24)、铅(以Pb计)(45)、镉(以Cd计)(45)、总汞(以Hg计)(45)、亚铁氰化钾/亚铁氰化钠(以亚铁氰根计)(45)、总砷(以As计)(45)</t>
  </si>
  <si>
    <t>发酵乳</t>
  </si>
  <si>
    <t>脂肪(30)、蛋白质(30)、酸度(24)、三聚氰胺(90)、铅(以Pb计)(45)、山梨酸及其钾盐(以山梨酸计)(45)、阿斯巴甜(45)、安赛蜜(45)、甜蜜素(以环己基氨基磺酸计)(45)、金黄色葡萄球菌(60)、沙门氏菌(60)、大肠菌群(45)、霉菌(45)</t>
  </si>
  <si>
    <t>普通食用盐</t>
  </si>
  <si>
    <t>灭菌乳</t>
  </si>
  <si>
    <t>蛋白质(30)、非脂乳固体(30)、酸度(24)、三聚氰胺(90)、铅(以Pb计)(45)、丙二醇(45)、商业无菌(30)</t>
  </si>
  <si>
    <t>蛋白质(30)、非脂乳固体(30)、酸度(24)、脂肪(30)、三聚氰胺(90)、铅(以Pb计)(45)、丙二醇(45)、商业无菌(30)</t>
  </si>
  <si>
    <t>面包</t>
  </si>
  <si>
    <t>铅(以Pb计)(45)、苯甲酸及其钠盐(以苯甲酸计)(45)、山梨酸及其钾盐(以山梨酸计)(45)、糖精钠(以糖精计)(45)、甜蜜素(以环己基氨基磺酸计)(45)、安赛蜜(45)、铝的残留量(干样品,以Al计)(45)、丙酸及其盐(以丙酸计)(60)、脱氢乙酸及其钠盐(以脱氢乙酸计)(60)、三氯蔗糖(60)、柠檬黄(45)、日落黄(45)、胭脂红(45)、苋菜红(45)、菌落总数(45)、大肠菌群(45)、金黄色葡萄球菌(60)、沙门氏菌(60)、霉菌(45)</t>
  </si>
  <si>
    <t>茶饮料</t>
  </si>
  <si>
    <t>茶多酚(45)、咖啡因(45)、脱氢乙酸及其钠盐(以脱氢乙酸计)(60)、安赛蜜(45)、甜蜜素(以环己基氨基磺酸计)(45)、阿斯巴甜(45)、菌落总数(45)</t>
  </si>
  <si>
    <t>蜜饯类、凉果类、果脯类、话化类、果糕类</t>
  </si>
  <si>
    <t>铅(以Pb计)(45)、苯甲酸及其钠盐(以苯甲酸计)(45)、山梨酸及其钾盐(以山梨酸计)(45)、脱氢乙酸及其钠盐(以脱氢乙酸计)(60)、糖精钠(以糖精计)(45)、甜蜜素(以环己基氨基磺酸计)(45)、安赛蜜(45)、二氧化硫残留量(24)、柠檬黄(45)、日落黄(45)、苋菜红(45)、诱惑红(45)</t>
  </si>
  <si>
    <t>铅(以Pb计)(45)、苯甲酸及其钠盐(以苯甲酸计)(45)、山梨酸及其钾盐(以山梨酸计)(45)、脱氢乙酸及其钠盐(以脱氢乙酸计)(60)、糖精钠(以糖精计)(45)、甜蜜素(以环己基氨基磺酸计)(45)、安赛蜜(45)、二氧化硫残留量(24)、柠檬黄(45)、日落黄(45)、苋菜红(45)、胭脂红(45)、乙二胺四乙酸二钠(45)、菌落总数(45)、大肠菌群(45)、霉菌(45)</t>
  </si>
  <si>
    <t>铅(以Pb计)(45)、苯甲酸及其钠盐(以苯甲酸计)(45)、山梨酸及其钾盐(以山梨酸计)(45)、脱氢乙酸及其钠盐(以脱氢乙酸计)(60)、糖精钠(以糖精计)(45)、甜蜜素(以环己基氨基磺酸计)(45)、安赛蜜(45)、二氧化硫残留量(24)、柠檬黄(45)、日落黄(45)、苋菜红(45)、菌落总数(45)、大肠菌群(45)、霉菌(45)、诱惑红(45)</t>
  </si>
  <si>
    <t>果冻</t>
  </si>
  <si>
    <t>山梨酸及其钾盐(以山梨酸计)(45)、苯甲酸及其钠盐(以苯甲酸计)(45)、糖精钠(以糖精计)(45)、甜蜜素(以环己基氨基磺酸计)(45)、安赛蜜(45)、菌落总数(45)、大肠菌群(45)、霉菌(45)、酵母(45)</t>
  </si>
  <si>
    <t>糕点</t>
  </si>
  <si>
    <t>铅(以Pb计)(45)、苯甲酸及其钠盐(以苯甲酸计)(45)、山梨酸及其钾盐(以山梨酸计)(45)、糖精钠(以糖精计)(45)、甜蜜素(以环己基氨基磺酸计)(45)、安赛蜜(45)、铝的残留量(干样品,以Al计)(45)、丙酸及其盐(以丙酸计)(60)、脱氢乙酸及其钠盐(以脱氢乙酸计)(60)、纳他霉素(60)、三氯蔗糖(60)、丙二醇(45)、柠檬黄(45)、日落黄(45)、胭脂红(45)、苋菜红(45)、菌落总数(45)、大肠菌群(45)、金黄色葡萄球菌(60)、沙门氏菌(60)、霉菌(45)</t>
  </si>
  <si>
    <t>过氧化值(以脂肪计)(30)、铅(以Pb计)(45)、苯甲酸及其钠盐(以苯甲酸计)(45)、山梨酸及其钾盐(以山梨酸计)(45)、糖精钠(以糖精计)(45)、甜蜜素(以环己基氨基磺酸计)(45)、安赛蜜(45)、铝的残留量(干样品,以Al计)(45)、丙酸及其盐(以丙酸计)(60)、脱氢乙酸及其钠盐(以脱氢乙酸计)(60)、纳他霉素(60)、三氯蔗糖(60)、丙二醇(45)、柠檬黄(45)、日落黄(45)、胭脂红(45)、赤藓红(45)、菌落总数(45)、大肠菌群(45)、金黄色葡萄球菌(60)、沙门氏菌(60)、霉菌(45)</t>
  </si>
  <si>
    <t>酸价(以脂肪计)(KOH)(30)、过氧化值(以脂肪计)(30)、铅(以Pb计)(45)、苯甲酸及其钠盐(以苯甲酸计)(45)、山梨酸及其钾盐(以山梨酸计)(45)、糖精钠(以糖精计)(45)、甜蜜素(以环己基氨基磺酸计)(45)、安赛蜜(45)、铝的残留量(干样品,以Al计)(45)、丙酸及其盐(以丙酸计)(60)、脱氢乙酸及其钠盐(以脱氢乙酸计)(60)、纳他霉素(60)、三氯蔗糖(60)、丙二醇(45)、柠檬黄(45)、日落黄(45)、胭脂红(45)、赤藓红(45)、菌落总数(45)、大肠菌群(45)、金黄色葡萄球菌(60)、沙门氏菌(60)、霉菌(45)</t>
  </si>
  <si>
    <t>其他炒货食品及坚果制品</t>
  </si>
  <si>
    <t>酸价(以脂肪计)(KOH)(30)、过氧化值(以脂肪计)(30)、铅(以Pb计)(45)、黄曲霉毒素B₁(90)、苯甲酸及其钠盐(以苯甲酸计)(45)、山梨酸及其钾盐(以山梨酸计)(45)、脱氢乙酸及其钠盐(以脱氢乙酸计)(60)、二氧化硫残留量(24)、糖精钠(以糖精计)(45)、甜蜜素(以环己基氨基磺酸计)(45)、安赛蜜(45)、大肠菌群(45)</t>
  </si>
  <si>
    <t>酸价(以脂肪计)(KOH)(30)、过氧化值(以脂肪计)(30)、铅(以Pb计)(45)、二氧化硫残留量(24)、糖精钠(以糖精计)(45)、甜蜜素(以环己基氨基磺酸计)(45)、安赛蜜(45)、大肠菌群(45)</t>
  </si>
  <si>
    <t>2026年江苏苏州吴中普通食品抽检计划</t>
  </si>
  <si>
    <t>其他罐头</t>
  </si>
  <si>
    <t>黄曲霉毒素B₁(90)、脱氢乙酸及其钠盐(以脱氢乙酸计)(60)、苯甲酸及其钠盐(以苯甲酸计)(45)、山梨酸及其钾盐(以山梨酸计)(45)、乙二胺四乙酸二钠(45)、商业无菌(30)</t>
  </si>
  <si>
    <t>普通白菜</t>
  </si>
  <si>
    <t>敌敌畏(45)、毒死蜱(45)、氟氯氰菊酯和高效氟氯氰菊酯(45)、甲拌磷(45)、甲基异柳磷(45)、氯氟氰菊酯和高效氯氟氰菊酯(45)、氯氰菊酯和高效氯氰菊酯(45)、水胺硫磷(45)、氧乐果(45)、乙酰甲胺磷(45)</t>
  </si>
  <si>
    <t>牛肉</t>
  </si>
  <si>
    <t>呋喃唑酮代谢物(90)、呋喃西林代谢物(90)、氯霉素(90)、克伦特罗(90)、莱克多巴胺(90)、沙丁胺醇(90)、恩诺沙星(90)、磺胺类(总量)(150)、多西环素(60)、土霉素/金霉素/四环素(组合含量)(150)</t>
  </si>
  <si>
    <t>马铃薯</t>
  </si>
  <si>
    <t>铅(以Pb计)(45)、镉(以Cd计)(45)、毒死蜱(45)、甲拌磷(45)、氯氟氰菊酯和高效氯氟氰菊酯(45)、氯氰菊酯和高效氯氰菊酯(45)、噻虫嗪(45)、杀扑磷(45)、乙酰甲胺磷(45)</t>
  </si>
  <si>
    <t>甘薯</t>
  </si>
  <si>
    <t>铅(以Pb计)(45)、毒死蜱(45)、氟虫腈(45)、甲拌磷(45)、氯氟氰菊酯和高效氯氟氰菊酯(45)、氯氰菊酯和高效氯氰菊酯(45)、噻虫嗪(45)、杀扑磷(45)</t>
  </si>
  <si>
    <t>羊肉</t>
  </si>
  <si>
    <t>呋喃唑酮代谢物(90)、呋喃西林代谢物(90)、氯霉素(90)、克伦特罗(90)、莱克多巴胺(90)、沙丁胺醇(90)、恩诺沙星(90)、磺胺类(总量)(150)、氟苯尼考(90)、土霉素/金霉素/四环素(组合含量)(150)</t>
  </si>
  <si>
    <t>熟肉干制品</t>
  </si>
  <si>
    <t>铅(以Pb计)(45)、N-二甲基亚硝胺(90)、苯甲酸及其钠盐(以苯甲酸计)(45)、山梨酸及其钾盐(以山梨酸计)(45)、脱氢乙酸及其钠盐(以脱氢乙酸计)(60)、胭脂红(45)、诱惑红(45)、氯霉素(90)、沙门氏菌(60)、金黄色葡萄球菌(60)、单核细胞增生李斯特氏菌(60)、致泻大肠埃希氏菌(60)</t>
  </si>
  <si>
    <t>鸡蛋</t>
  </si>
  <si>
    <t>甲硝唑(60)、地美硝唑(60)、氯霉素(90)、氟苯尼考(90)、甲砜霉素(90)、恩诺沙星(90)、氧氟沙星(90)、沙拉沙星(90)、甲氧苄啶(60)、多西环素(60)</t>
  </si>
  <si>
    <t>畜禽肉类罐头</t>
  </si>
  <si>
    <t>铅(以Pb计)(45)、镉(以Cd计)(45)、脱氢乙酸及其钠盐(以脱氢乙酸计)(60)、苯甲酸及其钠盐(以苯甲酸计)(45)、山梨酸及其钾盐(以山梨酸计)(45)、商业无菌(30)</t>
  </si>
  <si>
    <t>萝卜</t>
  </si>
  <si>
    <t>铅(以Pb计)(45)、毒死蜱(45)、甲胺磷(45)、甲拌磷(45)、氯氟氰菊酯和高效氯氟氰菊酯(45)、噻虫嗪(45)、氧乐果(45)</t>
  </si>
  <si>
    <t>水果类罐头</t>
  </si>
  <si>
    <t>铅(以Pb计)(45)、柠檬黄(45)、日落黄(45)、苋菜红(45)、赤藓红(45)、脱氢乙酸及其钠盐(以脱氢乙酸计)(60)、苯甲酸及其钠盐(以苯甲酸计)(45)、山梨酸及其钾盐(以山梨酸计)(45)、糖精钠(以糖精计)(45)、甜蜜素(以环己基氨基磺酸计)(45)、二氧化硫残留量(24)、商业无菌(30)</t>
  </si>
  <si>
    <t>2027年江苏苏州吴中普通食品抽检计划</t>
  </si>
  <si>
    <t>铅(以Pb计)(45)、柠檬黄(45)、日落黄(45)、苋菜红(45)、赤藓红(45)、脱氢乙酸及其钠盐(以脱氢乙酸计)(60)、苯甲酸及其钠盐(以苯甲酸计)(45)、山梨酸及其钾盐(以山梨酸计)(45)、糖精钠(以糖精计)(45)、甜蜜素(以环己基氨基磺酸计)(45)、商业无菌(30)</t>
  </si>
  <si>
    <t>2028年江苏苏州吴中普通食品抽检计划</t>
  </si>
  <si>
    <t>鲜食用菌</t>
  </si>
  <si>
    <t>镉(以Cd计)(45)、无机砷(以As计)(45)、百菌清(45)、除虫脲(45)、氯氟氰菊酯和高效氯氟氰菊酯(45)、氯氰菊酯和高效氯氰菊酯(45)</t>
  </si>
  <si>
    <t>2029年江苏苏州吴中普通食品抽检计划</t>
  </si>
  <si>
    <t>2030年江苏苏州吴中普通食品抽检计划</t>
  </si>
  <si>
    <t>酱腌菜</t>
  </si>
  <si>
    <t>铅(以Pb计)(45)、亚硝酸盐(以NaNO₂计)(45)、苯甲酸及其钠盐(以苯甲酸计)(45)、山梨酸及其钾盐(以山梨酸计)(45)、脱氢乙酸及其钠盐(以脱氢乙酸计)(60)、糖精钠(以糖精计)(45)、甜蜜素(以环己基氨基磺酸计)(45)、二氧化硫残留量(24)、安赛蜜(45)、柠檬黄(45)、日落黄(45)、诱惑红(45)</t>
  </si>
  <si>
    <t>2031年江苏苏州吴中普通食品抽检计划</t>
  </si>
  <si>
    <t>铅(以Pb计)(45)、亚硝酸盐(以NaNO₂计)(45)、苯甲酸及其钠盐(以苯甲酸计)(45)、山梨酸及其钾盐(以山梨酸计)(45)、脱氢乙酸及其钠盐(以脱氢乙酸计)(60)、糖精钠(以糖精计)(45)、甜蜜素(以环己基氨基磺酸计)(45)、二氧化硫残留量(24)、安赛蜜(45)、柠檬黄(45)、日落黄(45)、诱惑红(45)、大肠菌群(45)</t>
  </si>
  <si>
    <t>2032年江苏苏州吴中普通食品抽检计划</t>
  </si>
  <si>
    <t>熏煮香肠火腿制品</t>
  </si>
  <si>
    <t>亚硝酸盐(以亚硝酸钠计)(45)、苯甲酸及其钠盐(以苯甲酸计)(45)、山梨酸及其钾盐(以山梨酸计)(45)、脱氢乙酸及其钠盐(以脱氢乙酸计)(60)、纳他霉素(60)、胭脂红(45)、诱惑红(45)、氯霉素(90)、菌落总数(45)、大肠菌群(45)、沙门氏菌(60)、金黄色葡萄球菌(60)、单核细胞增生李斯特氏菌(60)</t>
  </si>
  <si>
    <t>2033年江苏苏州吴中普通食品抽检计划</t>
  </si>
  <si>
    <t>铅(以Pb计)(45)、苯甲酸及其钠盐(以苯甲酸计)(45)、山梨酸及其钾盐(以山梨酸计)(45)、糖精钠(以糖精计)(45)、甜蜜素(以环己基氨基磺酸计)(45)、安赛蜜(45)、铝的残留量(干样品,以Al计)(45)、丙酸及其盐(以丙酸计)(60)、脱氢乙酸及其钠盐(以脱氢乙酸计)(60)、三氯蔗糖(60)、柠檬黄(45)、日落黄(45)、胭脂红(45)、亮蓝(45)、菌落总数(45)、大肠菌群(45)、金黄色葡萄球菌(60)、沙门氏菌(60)、霉菌(45)</t>
  </si>
  <si>
    <t>酸价(以脂肪计)(KOH)(30)、过氧化值(以脂肪计)(30)、铅(以Pb计)(45)、苯甲酸及其钠盐(以苯甲酸计)(45)、山梨酸及其钾盐(以山梨酸计)(45)、糖精钠(以糖精计)(45)、甜蜜素(以环己基氨基磺酸计)(45)、安赛蜜(45)、铝的残留量(干样品,以Al计)(45)、丙酸及其盐(以丙酸计)(60)、脱氢乙酸及其钠盐(以脱氢乙酸计)(60)、三氯蔗糖(60)、柠檬黄(45)、日落黄(45)、胭脂红(45)、亮蓝(45)、菌落总数(45)、大肠菌群(45)、金黄色葡萄球菌(60)、沙门氏菌(60)、霉菌(45)</t>
  </si>
  <si>
    <t>过氧化值(以脂肪计)(30)、铅(以Pb计)(45)、苯甲酸及其钠盐(以苯甲酸计)(45)、山梨酸及其钾盐(以山梨酸计)(45)、糖精钠(以糖精计)(45)、甜蜜素(以环己基氨基磺酸计)(45)、安赛蜜(45)、铝的残留量(干样品,以Al计)(45)、丙酸及其盐(以丙酸计)(60)、脱氢乙酸及其钠盐(以脱氢乙酸计)(60)、三氯蔗糖(60)、柠檬黄(45)、日落黄(45)、胭脂红(45)、苋菜红(45)、菌落总数(45)、大肠菌群(45)、金黄色葡萄球菌(60)、沙门氏菌(60)、霉菌(45)</t>
  </si>
  <si>
    <t>调味面制品</t>
  </si>
  <si>
    <t>苯甲酸及其钠盐(以苯甲酸计)(45)、山梨酸及其钾盐(以山梨酸计)(45)、脱氢乙酸及其钠盐(以脱氢乙酸计)(60)、糖精钠(以糖精计)(45)、甜蜜素(以环己基氨基磺酸计)(45)、安赛蜜(45)、三氯蔗糖(60)、柠檬黄(45)、日落黄(45)、诱惑红(45)、苋菜红(45)、菌落总数(45)、大肠菌群(45)、霉菌(45)、沙门氏菌(60)、金黄色葡萄球菌(60)</t>
  </si>
  <si>
    <t>酸价(以脂肪计)(KOH)(30)、过氧化值(以脂肪计)(30)、苯甲酸及其钠盐(以苯甲酸计)(45)、山梨酸及其钾盐(以山梨酸计)(45)、脱氢乙酸及其钠盐(以脱氢乙酸计)(60)、糖精钠(以糖精计)(45)、甜蜜素(以环己基氨基磺酸计)(45)、安赛蜜(45)、三氯蔗糖(60)、柠檬黄(45)、日落黄(45)、诱惑红(45)、苋菜红(45)、菌落总数(45)、大肠菌群(45)、霉菌(45)、沙门氏菌(60)、金黄色葡萄球菌(60)</t>
  </si>
  <si>
    <t>酱卤肉制品</t>
  </si>
  <si>
    <t>镉(以Cd计)(45)、铬(以Cr计)(45)、总砷(以As计)(45)、N-二甲基亚硝胺(90)、亚硝酸盐(以亚硝酸钠计)(45)、苯甲酸及其钠盐(以苯甲酸计)(45)、山梨酸及其钾盐(以山梨酸计)(45)、脱氢乙酸及其钠盐(以脱氢乙酸计)(60)、纳他霉素(60)、糖精钠(以糖精计)(45)、柠檬黄(45)、日落黄(45)、胭脂红(45)、诱惑红(45)、氯霉素(90)、菌落总数(45)、大肠菌群(45)、沙门氏菌(60)、金黄色葡萄球菌(60)、单核细胞增生李斯特氏菌(60)</t>
  </si>
  <si>
    <t>镉(以Cd计)(45)、铬(以Cr计)(45)、总砷(以As计)(45)、N-二甲基亚硝胺(90)、亚硝酸盐(以亚硝酸钠计)(45)、苯甲酸及其钠盐(以苯甲酸计)(45)、山梨酸及其钾盐(以山梨酸计)(45)、脱氢乙酸及其钠盐(以脱氢乙酸计)(60)、纳他霉素(60)、糖精钠(以糖精计)(45)、柠檬黄(45)、日落黄(45)、胭脂红(45)、诱惑红(45)、氯霉素(90)、沙门氏菌(60)、金黄色葡萄球菌(60)、单核细胞增生李斯特氏菌(60)</t>
  </si>
  <si>
    <t>镉(以Cd计)(45)、铬(以Cr计)(45)、总砷(以As计)(45)、N-二甲基亚硝胺(90)、亚硝酸盐(以亚硝酸钠计)(45)、苯甲酸及其钠盐(以苯甲酸计)(45)、山梨酸及其钾盐(以山梨酸计)(45)、脱氢乙酸及其钠盐(以脱氢乙酸计)(60)、纳他霉素(60)、糖精钠(以糖精计)(45)、柠檬黄(45)、日落黄(45)、胭脂红(45)、诱惑红(45)、氯霉素(90)</t>
  </si>
  <si>
    <t>饼干</t>
  </si>
  <si>
    <t>山梨酸及其钾盐(以山梨酸计)(45)、铝的残留量(干样品,以Al计)(45)、脱氢乙酸及其钠盐(以脱氢乙酸计)(60)、甜蜜素(以环己基氨基磺酸计)(45)、糖精钠(以糖精计)(45)、二氧化硫残留量(24)、苯甲酸及其钠盐(以苯甲酸计)(45)、柠檬黄(45)、日落黄(45)、胭脂红(45)、苋菜红(45)、菌落总数(45)、大肠菌群(45)、金黄色葡萄球菌(60)、沙门氏菌(60)、霉菌(45)</t>
  </si>
  <si>
    <t>酸价(以脂肪计)(KOH)(30)、过氧化值(以脂肪计)(30)、山梨酸及其钾盐(以山梨酸计)(45)、铝的残留量(干样品,以Al计)(45)、脱氢乙酸及其钠盐(以脱氢乙酸计)(60)、甜蜜素(以环己基氨基磺酸计)(45)、糖精钠(以糖精计)(45)、二氧化硫残留量(24)、苯甲酸及其钠盐(以苯甲酸计)(45)、柠檬黄(45)、日落黄(45)、苋菜红(45)、诱惑红(45)、菌落总数(45)、大肠菌群(45)、金黄色葡萄球菌(60)、沙门氏菌(60)、霉菌(45)</t>
  </si>
  <si>
    <t>过氧化值(以脂肪计)(30)、铅(以Pb计)(45)、苯甲酸及其钠盐(以苯甲酸计)(45)、山梨酸及其钾盐(以山梨酸计)(45)、糖精钠(以糖精计)(45)、甜蜜素(以环己基氨基磺酸计)(45)、安赛蜜(45)、铝的残留量(干样品,以Al计)(45)、丙酸及其盐(以丙酸计)(60)、脱氢乙酸及其钠盐(以脱氢乙酸计)(60)、纳他霉素(60)、三氯蔗糖(60)、丙二醇(45)、柠檬黄(45)、日落黄(45)、胭脂红(45)、苋菜红(45)、菌落总数(45)、大肠菌群(45)、金黄色葡萄球菌(60)、沙门氏菌(60)、霉菌(45)</t>
  </si>
  <si>
    <t>酸价(以脂肪计)(KOH)(30)、过氧化值(以脂肪计)(30)、铅(以Pb计)(45)、苯甲酸及其钠盐(以苯甲酸计)(45)、山梨酸及其钾盐(以山梨酸计)(45)、糖精钠(以糖精计)(45)、甜蜜素(以环己基氨基磺酸计)(45)、安赛蜜(45)、铝的残留量(干样品,以Al计)(45)、丙酸及其盐(以丙酸计)(60)、脱氢乙酸及其钠盐(以脱氢乙酸计)(60)、纳他霉素(60)、三氯蔗糖(60)、丙二醇(45)、柠檬黄(45)、日落黄(45)、苋菜红(45)、诱惑红(45)、菌落总数(45)、大肠菌群(45)、金黄色葡萄球菌(60)、沙门氏菌(60)、霉菌(45)</t>
  </si>
  <si>
    <t>农村食品专项（线下）</t>
  </si>
  <si>
    <t>海水鱼</t>
  </si>
  <si>
    <t>土霉素/金霉素/四环素（组合含量）(150)、氧氟沙星(90)、恩诺沙星(90)、磺胺类（总量）(150)、呋喃它酮代谢物(90)、呋喃唑酮代谢物(90)、呋喃西林代谢物(90)、诺氟沙星(90)、氯霉素(90)、培氟沙星(90)</t>
  </si>
  <si>
    <t>复用餐饮具(餐馆自行消毒)</t>
  </si>
  <si>
    <t>阴离子合成洗涤剂（以十二烷基苯磺酸钠计）(30)、大肠菌群(45)</t>
  </si>
  <si>
    <t>铝的残留量（干样品，以Al计）(45)、铅（以Pb计）(45)、丙酸及其盐（以丙酸计）(60)、山梨酸及其钾盐（以山梨酸计）(45)、糖精钠（以糖精计）(45)、脱氢乙酸及其钠盐（以脱氢乙酸计）(60)、苯甲酸及其钠盐（以苯甲酸计）(45)、三氯蔗糖(60)、甜蜜素（以环己基氨基磺酸计）(45)、安赛蜜(45)</t>
  </si>
  <si>
    <t>铅（以Pb计）(45)、硫酸根离子(0)、钡（以Ba计）(45)、亚铁氰化钾/亚铁氰化钠（以亚铁氰根计）(45)、镉（以Cd计）(45)、氯离子(0)、碘（以 I 计）(24)、钙(45)、氯化钠(30)、总砷（以As计）(45)、总汞（以Hg计）(45)、镁(45)、氯化钾(30)</t>
  </si>
  <si>
    <t>味精</t>
  </si>
  <si>
    <t>谷氨酸钠(30)</t>
  </si>
  <si>
    <t>酱卤肉制品(自制)</t>
  </si>
  <si>
    <t>酸性红(45)、防腐剂混合使用时各自用量占其最大使用量的比例之和(30)、赤藓红(45)、铅（以Pb计）(45)、柠檬黄(45)、亮蓝(45)、日落黄(45)、山梨酸及其钾盐（以山梨酸计）(45)、诱惑红(45)、苯甲酸及其钠盐（以苯甲酸计）(45)、铬（以Cr计）(45)、胭脂红(45)、苋菜红(45)、喹啉黄(45)、新红(45)、脱氢乙酸及其钠盐（以脱氢乙酸计）(60)、N-二甲基亚硝胺(90)</t>
  </si>
  <si>
    <t>氯化钾(30)、钡（以Ba计）(45)、总砷（以As计）(45)、钙(45)、碘（以 I 计）(24)、镉（以Cd计）(45)、总汞（以Hg计）(45)、亚铁氰化钾/亚铁氰化钠（以亚铁氰根计）(45)、水分(24)、镁(45)、铅（以Pb计）(45)</t>
  </si>
  <si>
    <t>其他半固体调味料</t>
  </si>
  <si>
    <t>那可丁(60)、安赛蜜(45)、甜蜜素（以环己基氨基磺酸计）(45)、苯甲酸及其钠盐（以苯甲酸计）(45)、脱氢乙酸及其钠盐（以脱氢乙酸计）(60)、山梨酸及其钾盐（以山梨酸计）(45)、可待因(60)、罂粟碱(60)、罗丹明 B(60)、吗啡(60)</t>
  </si>
  <si>
    <t>苯甲酸及其钠盐（以苯甲酸计）(45)、铅（以Pb计）(45)、山梨酸及其钾盐（以山梨酸计）(45)、糖精钠（以糖精计）(45)、脱氢乙酸及其钠盐（以脱氢乙酸计）(60)、纳他霉素(60)、安赛蜜(45)、酸价（以脂肪计）(30)、过氧化值（以脂肪计）(30)、铝的残留量（干样品，以Al计）(45)</t>
  </si>
  <si>
    <t>阿斯巴甜(45)、安赛蜜(45)、脱氢乙酸及其钠盐（以脱氢乙酸计）(60)、菌落总数(45)、咖啡因(45)、甜蜜素（以环己基氨基磺酸计）(45)、茶多酚(45)</t>
  </si>
  <si>
    <t>柠檬黄(45)、山梨酸及其钾盐（以山梨酸计）(45)、甜蜜素（以环己基氨基磺酸计）(45)、三氯蔗糖(60)、脱氢乙酸及其钠盐（以脱氢乙酸计）(60)、苋菜红(45)、安赛蜜(45)、日落黄(45)、糖精钠（以糖精计）(45)、苯甲酸及其钠盐（以苯甲酸计）(45)、过氧化值（以脂肪计）(30)、诱惑红(45)、酸价（以脂肪计）（KOH）(30)</t>
  </si>
  <si>
    <t>大肠菌群(45)、苯甲酸及其钠盐（以苯甲酸计）(45)、三氯蔗糖(60)、金黄色葡萄球菌(60)、沙门氏菌(60)、菌落总数(45)、糖精钠（以糖精计）(45)、霉菌(45)、山梨酸及其钾盐（以山梨酸计）(45)、脱氢乙酸及其钠盐（以脱氢乙酸计）(60)</t>
  </si>
  <si>
    <t>过氧化值（以脂肪计）(30)、脱氢乙酸及其钠盐（以脱氢乙酸计）(60)、苯甲酸及其钠盐（以苯甲酸计）(45)、铝的残留量（干样品，以Al计）(45)、糖精钠（以糖精计）(45)、苋菜红(45)、山梨酸及其钾盐（以山梨酸计）(45)、二氧化硫残留量(24)、诱惑红(45)、酸价（以脂肪计）(30)、日落黄(45)、甜蜜素（以环己基氨基磺酸计）(45)、柠檬黄(45)</t>
  </si>
  <si>
    <t>合计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</si>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</sst>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8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sz val="11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ont="1" applyFill="1"/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85"/>
  <sheetViews>
    <sheetView tabSelected="1" zoomScale="70" zoomScaleNormal="70" zoomScaleSheetLayoutView="60" topLeftCell="A33" workbookViewId="0">
      <selection activeCell="F31" sqref="F31"/>
    </sheetView>
  </sheetViews>
  <sheetFormatPr defaultColWidth="8.625" defaultRowHeight="15.6"/>
  <cols>
    <col min="1" max="1" width="21.35" style="3" customWidth="1"/>
    <col min="2" max="2" width="25.975" style="3" customWidth="1"/>
    <col min="3" max="3" width="16.075" style="3" customWidth="1"/>
    <col min="4" max="4" width="15.5833333333333" style="3" customWidth="1"/>
    <col min="5" max="5" width="24.2166666666667" style="3" customWidth="1"/>
    <col min="6" max="6" width="94.8" style="5" customWidth="1"/>
    <col min="7" max="16384" width="8.625" style="3"/>
  </cols>
  <sheetData>
    <row r="1" s="1" customFormat="1" ht="22.2" spans="1:6">
      <c r="B1" s="6" t="s">
        <v>0</v>
      </c>
      <c r="C1" s="6"/>
      <c r="D1" s="6"/>
      <c r="E1" s="6"/>
      <c r="F1" s="7"/>
    </row>
    <row r="2" s="1" customFormat="1" ht="22.2" spans="1:6">
      <c r="B2" s="8" t="s">
        <v>1</v>
      </c>
      <c r="C2" s="8"/>
      <c r="D2" s="8"/>
      <c r="E2" s="8"/>
      <c r="F2" s="9"/>
    </row>
    <row r="3" s="2" customFormat="1" ht="34.8" spans="1:6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</row>
    <row r="4" s="3" customFormat="1" ht="31.2" spans="1:6">
      <c r="A4" s="11" t="s">
        <v>8</v>
      </c>
      <c r="B4" s="11" t="s">
        <v>9</v>
      </c>
      <c r="C4" s="11">
        <v>1</v>
      </c>
      <c r="D4" s="11">
        <v>285</v>
      </c>
      <c r="E4" s="11">
        <f>C4*D4</f>
        <v>285</v>
      </c>
      <c r="F4" s="11" t="s">
        <v>10</v>
      </c>
    </row>
    <row r="5" s="4" customFormat="1" ht="31.2" spans="1:6">
      <c r="A5" s="11" t="s">
        <v>8</v>
      </c>
      <c r="B5" s="11" t="s">
        <v>11</v>
      </c>
      <c r="C5" s="11">
        <v>1</v>
      </c>
      <c r="D5" s="11">
        <v>195</v>
      </c>
      <c r="E5" s="11">
        <f t="shared" ref="E5:E15" si="0">C5*D5</f>
        <v>195</v>
      </c>
      <c r="F5" s="12" t="s">
        <v>12</v>
      </c>
    </row>
    <row r="6" s="4" customFormat="1" ht="31.2" spans="1:6">
      <c r="A6" s="11" t="s">
        <v>8</v>
      </c>
      <c r="B6" s="11" t="s">
        <v>13</v>
      </c>
      <c r="C6" s="11">
        <v>1</v>
      </c>
      <c r="D6" s="11">
        <v>339</v>
      </c>
      <c r="E6" s="11">
        <f t="shared" si="0"/>
        <v>339</v>
      </c>
      <c r="F6" s="12" t="s">
        <v>14</v>
      </c>
    </row>
    <row r="7" s="4" customFormat="1" ht="31.2" spans="1:6">
      <c r="A7" s="11" t="s">
        <v>8</v>
      </c>
      <c r="B7" s="11" t="s">
        <v>15</v>
      </c>
      <c r="C7" s="11">
        <v>1</v>
      </c>
      <c r="D7" s="11">
        <v>219</v>
      </c>
      <c r="E7" s="11">
        <f t="shared" si="0"/>
        <v>219</v>
      </c>
      <c r="F7" s="12" t="s">
        <v>16</v>
      </c>
    </row>
    <row r="8" s="4" customFormat="1" ht="31.2" spans="1:6">
      <c r="A8" s="11" t="s">
        <v>8</v>
      </c>
      <c r="B8" s="11" t="s">
        <v>17</v>
      </c>
      <c r="C8" s="11">
        <v>2</v>
      </c>
      <c r="D8" s="11">
        <v>324</v>
      </c>
      <c r="E8" s="11">
        <f t="shared" si="0"/>
        <v>648</v>
      </c>
      <c r="F8" s="12" t="s">
        <v>18</v>
      </c>
    </row>
    <row r="9" s="4" customFormat="1" ht="43.2" spans="1:6">
      <c r="A9" s="11" t="s">
        <v>8</v>
      </c>
      <c r="B9" s="11" t="s">
        <v>19</v>
      </c>
      <c r="C9" s="11">
        <v>2</v>
      </c>
      <c r="D9" s="11">
        <v>594</v>
      </c>
      <c r="E9" s="11">
        <f t="shared" si="0"/>
        <v>1188</v>
      </c>
      <c r="F9" s="12" t="s">
        <v>20</v>
      </c>
    </row>
    <row r="10" s="4" customFormat="1" ht="43.2" spans="1:6">
      <c r="A10" s="11" t="s">
        <v>8</v>
      </c>
      <c r="B10" s="11" t="s">
        <v>21</v>
      </c>
      <c r="C10" s="11">
        <v>2</v>
      </c>
      <c r="D10" s="11">
        <v>690</v>
      </c>
      <c r="E10" s="11">
        <f t="shared" si="0"/>
        <v>1380</v>
      </c>
      <c r="F10" s="12" t="s">
        <v>22</v>
      </c>
    </row>
    <row r="11" s="4" customFormat="1" ht="31.2" spans="1:6">
      <c r="A11" s="11" t="s">
        <v>8</v>
      </c>
      <c r="B11" s="11" t="s">
        <v>23</v>
      </c>
      <c r="C11" s="11">
        <v>1</v>
      </c>
      <c r="D11" s="11">
        <v>279</v>
      </c>
      <c r="E11" s="11">
        <f t="shared" si="0"/>
        <v>279</v>
      </c>
      <c r="F11" s="12" t="s">
        <v>24</v>
      </c>
    </row>
    <row r="12" s="4" customFormat="1" ht="31.2" spans="1:6">
      <c r="A12" s="11" t="s">
        <v>8</v>
      </c>
      <c r="B12" s="11" t="s">
        <v>23</v>
      </c>
      <c r="C12" s="11">
        <v>1</v>
      </c>
      <c r="D12" s="11">
        <v>324</v>
      </c>
      <c r="E12" s="11">
        <f t="shared" si="0"/>
        <v>324</v>
      </c>
      <c r="F12" s="12" t="s">
        <v>25</v>
      </c>
    </row>
    <row r="13" s="4" customFormat="1" ht="43.2" spans="1:6">
      <c r="A13" s="11" t="s">
        <v>8</v>
      </c>
      <c r="B13" s="11" t="s">
        <v>26</v>
      </c>
      <c r="C13" s="11">
        <v>3</v>
      </c>
      <c r="D13" s="11">
        <v>609</v>
      </c>
      <c r="E13" s="11">
        <f t="shared" si="0"/>
        <v>1827</v>
      </c>
      <c r="F13" s="12" t="s">
        <v>27</v>
      </c>
    </row>
    <row r="14" s="4" customFormat="1" ht="31.2" spans="1:6">
      <c r="A14" s="11" t="s">
        <v>8</v>
      </c>
      <c r="B14" s="11" t="s">
        <v>28</v>
      </c>
      <c r="C14" s="11">
        <v>5</v>
      </c>
      <c r="D14" s="11">
        <v>324</v>
      </c>
      <c r="E14" s="11">
        <f t="shared" si="0"/>
        <v>1620</v>
      </c>
      <c r="F14" s="12" t="s">
        <v>25</v>
      </c>
    </row>
    <row r="15" s="4" customFormat="1" ht="31.2" spans="1:6">
      <c r="A15" s="11" t="s">
        <v>8</v>
      </c>
      <c r="B15" s="11" t="s">
        <v>29</v>
      </c>
      <c r="C15" s="11">
        <v>1</v>
      </c>
      <c r="D15" s="11">
        <v>294</v>
      </c>
      <c r="E15" s="11">
        <f t="shared" si="0"/>
        <v>294</v>
      </c>
      <c r="F15" s="12" t="s">
        <v>30</v>
      </c>
    </row>
    <row r="16" s="4" customFormat="1" ht="31.2" spans="1:6">
      <c r="A16" s="11" t="s">
        <v>8</v>
      </c>
      <c r="B16" s="11" t="s">
        <v>29</v>
      </c>
      <c r="C16" s="11">
        <v>5</v>
      </c>
      <c r="D16" s="11">
        <v>324</v>
      </c>
      <c r="E16" s="11">
        <f t="shared" ref="E16:E24" si="1">C16*D16</f>
        <v>1620</v>
      </c>
      <c r="F16" s="12" t="s">
        <v>31</v>
      </c>
    </row>
    <row r="17" s="4" customFormat="1" ht="57.6" spans="1:6">
      <c r="A17" s="11" t="s">
        <v>8</v>
      </c>
      <c r="B17" s="11" t="s">
        <v>32</v>
      </c>
      <c r="C17" s="11">
        <v>7</v>
      </c>
      <c r="D17" s="11">
        <v>930</v>
      </c>
      <c r="E17" s="11">
        <f t="shared" si="1"/>
        <v>6510</v>
      </c>
      <c r="F17" s="12" t="s">
        <v>33</v>
      </c>
    </row>
    <row r="18" s="4" customFormat="1" ht="31.2" spans="1:6">
      <c r="A18" s="11" t="s">
        <v>8</v>
      </c>
      <c r="B18" s="11" t="s">
        <v>34</v>
      </c>
      <c r="C18" s="11">
        <v>8</v>
      </c>
      <c r="D18" s="11">
        <v>330</v>
      </c>
      <c r="E18" s="11">
        <f t="shared" si="1"/>
        <v>2640</v>
      </c>
      <c r="F18" s="12" t="s">
        <v>35</v>
      </c>
    </row>
    <row r="19" s="4" customFormat="1" ht="43.2" spans="1:6">
      <c r="A19" s="11" t="s">
        <v>8</v>
      </c>
      <c r="B19" s="11" t="s">
        <v>36</v>
      </c>
      <c r="C19" s="11">
        <v>1</v>
      </c>
      <c r="D19" s="11">
        <v>534</v>
      </c>
      <c r="E19" s="11">
        <f t="shared" si="1"/>
        <v>534</v>
      </c>
      <c r="F19" s="12" t="s">
        <v>37</v>
      </c>
    </row>
    <row r="20" s="4" customFormat="1" ht="43.2" spans="1:6">
      <c r="A20" s="11" t="s">
        <v>8</v>
      </c>
      <c r="B20" s="11" t="s">
        <v>36</v>
      </c>
      <c r="C20" s="11">
        <v>2</v>
      </c>
      <c r="D20" s="11">
        <v>714</v>
      </c>
      <c r="E20" s="11">
        <f t="shared" si="1"/>
        <v>1428</v>
      </c>
      <c r="F20" s="12" t="s">
        <v>38</v>
      </c>
    </row>
    <row r="21" s="4" customFormat="1" ht="43.2" spans="1:6">
      <c r="A21" s="11" t="s">
        <v>8</v>
      </c>
      <c r="B21" s="11" t="s">
        <v>36</v>
      </c>
      <c r="C21" s="11">
        <v>6</v>
      </c>
      <c r="D21" s="11">
        <v>669</v>
      </c>
      <c r="E21" s="11">
        <f t="shared" si="1"/>
        <v>4014</v>
      </c>
      <c r="F21" s="12" t="s">
        <v>39</v>
      </c>
    </row>
    <row r="22" s="4" customFormat="1" ht="31.2" spans="1:6">
      <c r="A22" s="11" t="s">
        <v>8</v>
      </c>
      <c r="B22" s="11" t="s">
        <v>40</v>
      </c>
      <c r="C22" s="11">
        <v>10</v>
      </c>
      <c r="D22" s="11">
        <v>405</v>
      </c>
      <c r="E22" s="11">
        <f t="shared" si="1"/>
        <v>4050</v>
      </c>
      <c r="F22" s="12" t="s">
        <v>41</v>
      </c>
    </row>
    <row r="23" s="4" customFormat="1" ht="57.6" spans="1:6">
      <c r="A23" s="11" t="s">
        <v>8</v>
      </c>
      <c r="B23" s="11" t="s">
        <v>42</v>
      </c>
      <c r="C23" s="11">
        <v>1</v>
      </c>
      <c r="D23" s="11">
        <v>1035</v>
      </c>
      <c r="E23" s="11">
        <f t="shared" si="1"/>
        <v>1035</v>
      </c>
      <c r="F23" s="12" t="s">
        <v>43</v>
      </c>
    </row>
    <row r="24" s="4" customFormat="1" ht="72" spans="1:6">
      <c r="A24" s="11" t="s">
        <v>8</v>
      </c>
      <c r="B24" s="11" t="s">
        <v>42</v>
      </c>
      <c r="C24" s="11">
        <v>1</v>
      </c>
      <c r="D24" s="11">
        <v>1065</v>
      </c>
      <c r="E24" s="11">
        <f t="shared" si="1"/>
        <v>1065</v>
      </c>
      <c r="F24" s="12" t="s">
        <v>44</v>
      </c>
    </row>
    <row r="25" s="4" customFormat="1" ht="72" spans="1:6">
      <c r="A25" s="11" t="s">
        <v>8</v>
      </c>
      <c r="B25" s="11" t="s">
        <v>42</v>
      </c>
      <c r="C25" s="11">
        <v>11</v>
      </c>
      <c r="D25" s="11">
        <v>1095</v>
      </c>
      <c r="E25" s="11">
        <f t="shared" ref="E25:E33" si="2">C25*D25</f>
        <v>12045</v>
      </c>
      <c r="F25" s="12" t="s">
        <v>45</v>
      </c>
    </row>
    <row r="26" s="4" customFormat="1" ht="43.2" spans="1:6">
      <c r="A26" s="11" t="s">
        <v>8</v>
      </c>
      <c r="B26" s="11" t="s">
        <v>46</v>
      </c>
      <c r="C26" s="11">
        <v>3</v>
      </c>
      <c r="D26" s="11">
        <v>594</v>
      </c>
      <c r="E26" s="11">
        <f t="shared" si="2"/>
        <v>1782</v>
      </c>
      <c r="F26" s="12" t="s">
        <v>20</v>
      </c>
    </row>
    <row r="27" s="4" customFormat="1" ht="43.2" spans="1:6">
      <c r="A27" s="11" t="s">
        <v>8</v>
      </c>
      <c r="B27" s="11" t="s">
        <v>46</v>
      </c>
      <c r="C27" s="11">
        <v>12</v>
      </c>
      <c r="D27" s="11">
        <v>549</v>
      </c>
      <c r="E27" s="11">
        <f t="shared" si="2"/>
        <v>6588</v>
      </c>
      <c r="F27" s="12" t="s">
        <v>47</v>
      </c>
    </row>
    <row r="28" s="4" customFormat="1" ht="31.2" spans="1:6">
      <c r="A28" s="11" t="s">
        <v>8</v>
      </c>
      <c r="B28" s="11" t="s">
        <v>46</v>
      </c>
      <c r="C28" s="11">
        <v>2</v>
      </c>
      <c r="D28" s="11">
        <v>309</v>
      </c>
      <c r="E28" s="11">
        <f t="shared" si="2"/>
        <v>618</v>
      </c>
      <c r="F28" s="12" t="s">
        <v>48</v>
      </c>
    </row>
    <row r="29" s="4" customFormat="1" ht="31.2" spans="1:6">
      <c r="A29" s="11" t="s">
        <v>49</v>
      </c>
      <c r="B29" s="11" t="s">
        <v>50</v>
      </c>
      <c r="C29" s="11">
        <v>1</v>
      </c>
      <c r="D29" s="11">
        <v>315</v>
      </c>
      <c r="E29" s="11">
        <f t="shared" si="2"/>
        <v>315</v>
      </c>
      <c r="F29" s="12" t="s">
        <v>51</v>
      </c>
    </row>
    <row r="30" s="4" customFormat="1" ht="31.2" spans="1:6">
      <c r="A30" s="11" t="s">
        <v>49</v>
      </c>
      <c r="B30" s="11" t="s">
        <v>52</v>
      </c>
      <c r="C30" s="11">
        <v>1</v>
      </c>
      <c r="D30" s="11">
        <v>450</v>
      </c>
      <c r="E30" s="11">
        <f t="shared" si="2"/>
        <v>450</v>
      </c>
      <c r="F30" s="12" t="s">
        <v>53</v>
      </c>
    </row>
    <row r="31" s="4" customFormat="1" ht="31.2" spans="1:6">
      <c r="A31" s="11" t="s">
        <v>49</v>
      </c>
      <c r="B31" s="11" t="s">
        <v>54</v>
      </c>
      <c r="C31" s="11">
        <v>1</v>
      </c>
      <c r="D31" s="11">
        <v>960</v>
      </c>
      <c r="E31" s="11">
        <f t="shared" si="2"/>
        <v>960</v>
      </c>
      <c r="F31" s="12" t="s">
        <v>55</v>
      </c>
    </row>
    <row r="32" s="4" customFormat="1" ht="31.2" spans="1:6">
      <c r="A32" s="11" t="s">
        <v>49</v>
      </c>
      <c r="B32" s="11" t="s">
        <v>56</v>
      </c>
      <c r="C32" s="11">
        <v>1</v>
      </c>
      <c r="D32" s="11">
        <v>405</v>
      </c>
      <c r="E32" s="11">
        <f t="shared" si="2"/>
        <v>405</v>
      </c>
      <c r="F32" s="12" t="s">
        <v>57</v>
      </c>
    </row>
    <row r="33" s="4" customFormat="1" ht="31.2" spans="1:14">
      <c r="A33" s="11" t="s">
        <v>49</v>
      </c>
      <c r="B33" s="11" t="s">
        <v>58</v>
      </c>
      <c r="C33" s="11">
        <v>1</v>
      </c>
      <c r="D33" s="11">
        <v>360</v>
      </c>
      <c r="E33" s="11">
        <f t="shared" si="2"/>
        <v>360</v>
      </c>
      <c r="F33" s="12" t="s">
        <v>59</v>
      </c>
    </row>
    <row r="34" s="4" customFormat="1" ht="31.2" spans="1:14">
      <c r="A34" s="11" t="s">
        <v>49</v>
      </c>
      <c r="B34" s="11" t="s">
        <v>60</v>
      </c>
      <c r="C34" s="11">
        <v>1</v>
      </c>
      <c r="D34" s="11">
        <v>990</v>
      </c>
      <c r="E34" s="11">
        <f t="shared" ref="E34:E51" si="3">C34*D34</f>
        <v>990</v>
      </c>
      <c r="F34" s="12" t="s">
        <v>61</v>
      </c>
    </row>
    <row r="35" s="4" customFormat="1" ht="43.2" spans="1:14">
      <c r="A35" s="11" t="s">
        <v>49</v>
      </c>
      <c r="B35" s="11" t="s">
        <v>62</v>
      </c>
      <c r="C35" s="11">
        <v>1</v>
      </c>
      <c r="D35" s="11">
        <v>705</v>
      </c>
      <c r="E35" s="11">
        <f t="shared" si="3"/>
        <v>705</v>
      </c>
      <c r="F35" s="12" t="s">
        <v>63</v>
      </c>
    </row>
    <row r="36" s="4" customFormat="1" ht="31.2" spans="1:14">
      <c r="A36" s="11" t="s">
        <v>49</v>
      </c>
      <c r="B36" s="11" t="s">
        <v>64</v>
      </c>
      <c r="C36" s="11">
        <v>1</v>
      </c>
      <c r="D36" s="11">
        <v>780</v>
      </c>
      <c r="E36" s="11">
        <f t="shared" si="3"/>
        <v>780</v>
      </c>
      <c r="F36" s="12" t="s">
        <v>65</v>
      </c>
      <c r="K36" s="3"/>
      <c r="L36" s="3"/>
      <c r="M36" s="3"/>
      <c r="N36" s="3"/>
    </row>
    <row r="37" s="4" customFormat="1" ht="31.2" spans="1:14">
      <c r="A37" s="11" t="s">
        <v>49</v>
      </c>
      <c r="B37" s="11" t="s">
        <v>66</v>
      </c>
      <c r="C37" s="11">
        <v>2</v>
      </c>
      <c r="D37" s="11">
        <v>270</v>
      </c>
      <c r="E37" s="11">
        <f t="shared" si="3"/>
        <v>540</v>
      </c>
      <c r="F37" s="12" t="s">
        <v>67</v>
      </c>
      <c r="K37" s="3"/>
      <c r="L37" s="3"/>
      <c r="M37" s="3"/>
      <c r="N37" s="3"/>
    </row>
    <row r="38" s="4" customFormat="1" ht="31.2" spans="1:14">
      <c r="A38" s="11" t="s">
        <v>49</v>
      </c>
      <c r="B38" s="11" t="s">
        <v>68</v>
      </c>
      <c r="C38" s="11">
        <v>2</v>
      </c>
      <c r="D38" s="11">
        <v>315</v>
      </c>
      <c r="E38" s="11">
        <f t="shared" si="3"/>
        <v>630</v>
      </c>
      <c r="F38" s="12" t="s">
        <v>69</v>
      </c>
      <c r="K38" s="3"/>
      <c r="L38" s="3"/>
      <c r="M38" s="3"/>
      <c r="N38" s="3"/>
    </row>
    <row r="39" s="4" customFormat="1" ht="43.2" spans="1:14">
      <c r="A39" s="11" t="s">
        <v>49</v>
      </c>
      <c r="B39" s="11" t="s">
        <v>70</v>
      </c>
      <c r="C39" s="11">
        <v>1</v>
      </c>
      <c r="D39" s="11">
        <v>519</v>
      </c>
      <c r="E39" s="11">
        <f t="shared" si="3"/>
        <v>519</v>
      </c>
      <c r="F39" s="12" t="s">
        <v>71</v>
      </c>
      <c r="K39" s="3"/>
      <c r="L39" s="3"/>
      <c r="M39" s="3"/>
      <c r="N39" s="3"/>
    </row>
    <row r="40" s="4" customFormat="1" ht="43.2" spans="1:14">
      <c r="A40" s="11" t="s">
        <v>72</v>
      </c>
      <c r="B40" s="11" t="s">
        <v>70</v>
      </c>
      <c r="C40" s="11">
        <v>1</v>
      </c>
      <c r="D40" s="11">
        <v>495</v>
      </c>
      <c r="E40" s="11">
        <f t="shared" si="3"/>
        <v>495</v>
      </c>
      <c r="F40" s="12" t="s">
        <v>73</v>
      </c>
      <c r="K40" s="3"/>
      <c r="L40" s="3"/>
      <c r="M40" s="3"/>
      <c r="N40" s="3"/>
    </row>
    <row r="41" s="4" customFormat="1" ht="31.2" spans="1:14">
      <c r="A41" s="11" t="s">
        <v>74</v>
      </c>
      <c r="B41" s="11" t="s">
        <v>75</v>
      </c>
      <c r="C41" s="11">
        <v>2</v>
      </c>
      <c r="D41" s="11">
        <v>270</v>
      </c>
      <c r="E41" s="11">
        <f t="shared" si="3"/>
        <v>540</v>
      </c>
      <c r="F41" s="12" t="s">
        <v>76</v>
      </c>
      <c r="K41" s="3"/>
      <c r="L41" s="3"/>
      <c r="M41" s="3"/>
      <c r="N41" s="3"/>
    </row>
    <row r="42" s="4" customFormat="1" ht="31.2" spans="1:14">
      <c r="A42" s="11" t="s">
        <v>77</v>
      </c>
      <c r="B42" s="11" t="s">
        <v>40</v>
      </c>
      <c r="C42" s="11">
        <v>3</v>
      </c>
      <c r="D42" s="11">
        <v>405</v>
      </c>
      <c r="E42" s="11">
        <f t="shared" si="3"/>
        <v>1215</v>
      </c>
      <c r="F42" s="12" t="s">
        <v>41</v>
      </c>
      <c r="K42" s="3"/>
      <c r="L42" s="3"/>
      <c r="M42" s="3"/>
      <c r="N42" s="3"/>
    </row>
    <row r="43" s="4" customFormat="1" ht="43.2" spans="1:14">
      <c r="A43" s="11" t="s">
        <v>78</v>
      </c>
      <c r="B43" s="11" t="s">
        <v>79</v>
      </c>
      <c r="C43" s="11">
        <v>4</v>
      </c>
      <c r="D43" s="11">
        <v>534</v>
      </c>
      <c r="E43" s="11">
        <f t="shared" si="3"/>
        <v>2136</v>
      </c>
      <c r="F43" s="12" t="s">
        <v>80</v>
      </c>
      <c r="K43" s="3"/>
      <c r="L43" s="3"/>
      <c r="M43" s="3"/>
      <c r="N43" s="3"/>
    </row>
    <row r="44" s="3" customFormat="1" ht="43.2" spans="1:14">
      <c r="A44" s="11" t="s">
        <v>81</v>
      </c>
      <c r="B44" s="11" t="s">
        <v>79</v>
      </c>
      <c r="C44" s="11">
        <v>1</v>
      </c>
      <c r="D44" s="11">
        <v>579</v>
      </c>
      <c r="E44" s="11">
        <f t="shared" si="3"/>
        <v>579</v>
      </c>
      <c r="F44" s="12" t="s">
        <v>82</v>
      </c>
    </row>
    <row r="45" s="3" customFormat="1" ht="43.2" spans="1:14">
      <c r="A45" s="11" t="s">
        <v>83</v>
      </c>
      <c r="B45" s="11" t="s">
        <v>84</v>
      </c>
      <c r="C45" s="11">
        <v>5</v>
      </c>
      <c r="D45" s="11">
        <v>705</v>
      </c>
      <c r="E45" s="11">
        <f t="shared" si="3"/>
        <v>3525</v>
      </c>
      <c r="F45" s="12" t="s">
        <v>85</v>
      </c>
    </row>
    <row r="46" s="3" customFormat="1" ht="57.6" spans="1:14">
      <c r="A46" s="11" t="s">
        <v>86</v>
      </c>
      <c r="B46" s="11" t="s">
        <v>32</v>
      </c>
      <c r="C46" s="11">
        <v>3</v>
      </c>
      <c r="D46" s="11">
        <v>930</v>
      </c>
      <c r="E46" s="11">
        <f t="shared" si="3"/>
        <v>2790</v>
      </c>
      <c r="F46" s="12" t="s">
        <v>87</v>
      </c>
    </row>
    <row r="47" s="3" customFormat="1" ht="72" spans="1:14">
      <c r="A47" s="11" t="s">
        <v>86</v>
      </c>
      <c r="B47" s="11" t="s">
        <v>32</v>
      </c>
      <c r="C47" s="11">
        <v>3</v>
      </c>
      <c r="D47" s="11">
        <v>990</v>
      </c>
      <c r="E47" s="11">
        <f t="shared" si="3"/>
        <v>2970</v>
      </c>
      <c r="F47" s="12" t="s">
        <v>88</v>
      </c>
    </row>
    <row r="48" s="3" customFormat="1" ht="57.6" spans="1:14">
      <c r="A48" s="11" t="s">
        <v>86</v>
      </c>
      <c r="B48" s="11" t="s">
        <v>32</v>
      </c>
      <c r="C48" s="11">
        <v>1</v>
      </c>
      <c r="D48" s="11">
        <v>960</v>
      </c>
      <c r="E48" s="11">
        <f t="shared" si="3"/>
        <v>960</v>
      </c>
      <c r="F48" s="12" t="s">
        <v>89</v>
      </c>
    </row>
    <row r="49" s="3" customFormat="1" ht="43.2" spans="1:6">
      <c r="A49" s="11" t="s">
        <v>86</v>
      </c>
      <c r="B49" s="11" t="s">
        <v>90</v>
      </c>
      <c r="C49" s="11">
        <v>1</v>
      </c>
      <c r="D49" s="11">
        <v>780</v>
      </c>
      <c r="E49" s="11">
        <f t="shared" si="3"/>
        <v>780</v>
      </c>
      <c r="F49" s="12" t="s">
        <v>91</v>
      </c>
    </row>
    <row r="50" s="3" customFormat="1" ht="57.6" spans="1:6">
      <c r="A50" s="11" t="s">
        <v>86</v>
      </c>
      <c r="B50" s="11" t="s">
        <v>90</v>
      </c>
      <c r="C50" s="11">
        <v>9</v>
      </c>
      <c r="D50" s="11">
        <v>840</v>
      </c>
      <c r="E50" s="11">
        <f t="shared" si="3"/>
        <v>7560</v>
      </c>
      <c r="F50" s="12" t="s">
        <v>92</v>
      </c>
    </row>
    <row r="51" s="3" customFormat="1" ht="57.6" spans="1:6">
      <c r="A51" s="11" t="s">
        <v>86</v>
      </c>
      <c r="B51" s="11" t="s">
        <v>93</v>
      </c>
      <c r="C51" s="11">
        <v>3</v>
      </c>
      <c r="D51" s="11">
        <v>1065</v>
      </c>
      <c r="E51" s="11">
        <f t="shared" si="3"/>
        <v>3195</v>
      </c>
      <c r="F51" s="12" t="s">
        <v>94</v>
      </c>
    </row>
    <row r="52" s="3" customFormat="1" ht="57.6" spans="1:6">
      <c r="A52" s="11" t="s">
        <v>86</v>
      </c>
      <c r="B52" s="11" t="s">
        <v>93</v>
      </c>
      <c r="C52" s="11">
        <v>10</v>
      </c>
      <c r="D52" s="11">
        <v>975</v>
      </c>
      <c r="E52" s="11">
        <f t="shared" ref="E52:E57" si="4">C52*D52</f>
        <v>9750</v>
      </c>
      <c r="F52" s="12" t="s">
        <v>95</v>
      </c>
    </row>
    <row r="53" s="3" customFormat="1" ht="43.2" spans="1:6">
      <c r="A53" s="11" t="s">
        <v>86</v>
      </c>
      <c r="B53" s="11" t="s">
        <v>93</v>
      </c>
      <c r="C53" s="11">
        <v>1</v>
      </c>
      <c r="D53" s="11">
        <v>795</v>
      </c>
      <c r="E53" s="11">
        <f t="shared" si="4"/>
        <v>795</v>
      </c>
      <c r="F53" s="12" t="s">
        <v>96</v>
      </c>
    </row>
    <row r="54" s="3" customFormat="1" ht="57.6" spans="1:6">
      <c r="A54" s="11" t="s">
        <v>86</v>
      </c>
      <c r="B54" s="11" t="s">
        <v>97</v>
      </c>
      <c r="C54" s="11">
        <v>2</v>
      </c>
      <c r="D54" s="11">
        <v>744</v>
      </c>
      <c r="E54" s="11">
        <f t="shared" si="4"/>
        <v>1488</v>
      </c>
      <c r="F54" s="12" t="s">
        <v>98</v>
      </c>
    </row>
    <row r="55" s="3" customFormat="1" ht="57.6" spans="1:6">
      <c r="A55" s="11" t="s">
        <v>86</v>
      </c>
      <c r="B55" s="11" t="s">
        <v>97</v>
      </c>
      <c r="C55" s="11">
        <v>13</v>
      </c>
      <c r="D55" s="11">
        <v>804</v>
      </c>
      <c r="E55" s="11">
        <f t="shared" si="4"/>
        <v>10452</v>
      </c>
      <c r="F55" s="12" t="s">
        <v>99</v>
      </c>
    </row>
    <row r="56" s="3" customFormat="1" ht="72" spans="1:6">
      <c r="A56" s="11" t="s">
        <v>86</v>
      </c>
      <c r="B56" s="11" t="s">
        <v>42</v>
      </c>
      <c r="C56" s="11">
        <v>3</v>
      </c>
      <c r="D56" s="13">
        <v>1065</v>
      </c>
      <c r="E56" s="11">
        <f t="shared" si="4"/>
        <v>3195</v>
      </c>
      <c r="F56" s="12" t="s">
        <v>100</v>
      </c>
    </row>
    <row r="57" s="3" customFormat="1" ht="72" spans="1:6">
      <c r="A57" s="11" t="s">
        <v>86</v>
      </c>
      <c r="B57" s="11" t="s">
        <v>42</v>
      </c>
      <c r="C57" s="11">
        <v>12</v>
      </c>
      <c r="D57" s="13">
        <v>1095</v>
      </c>
      <c r="E57" s="11">
        <f t="shared" si="4"/>
        <v>13140</v>
      </c>
      <c r="F57" s="12" t="s">
        <v>101</v>
      </c>
    </row>
    <row r="58" s="3" customFormat="1" ht="41" customHeight="1" spans="1:6">
      <c r="A58" s="11" t="s">
        <v>102</v>
      </c>
      <c r="B58" s="11" t="s">
        <v>103</v>
      </c>
      <c r="C58" s="11">
        <v>1</v>
      </c>
      <c r="D58" s="13">
        <v>990</v>
      </c>
      <c r="E58" s="11">
        <f t="shared" ref="E58:E70" si="5">C58*D58</f>
        <v>990</v>
      </c>
      <c r="F58" s="12" t="s">
        <v>104</v>
      </c>
    </row>
    <row r="59" s="3" customFormat="1" ht="45" customHeight="1" spans="1:6">
      <c r="A59" s="11" t="s">
        <v>102</v>
      </c>
      <c r="B59" s="11" t="s">
        <v>105</v>
      </c>
      <c r="C59" s="11">
        <v>1</v>
      </c>
      <c r="D59" s="13">
        <v>75</v>
      </c>
      <c r="E59" s="11">
        <f t="shared" si="5"/>
        <v>75</v>
      </c>
      <c r="F59" s="12" t="s">
        <v>106</v>
      </c>
    </row>
    <row r="60" s="3" customFormat="1" ht="43.2" spans="1:6">
      <c r="A60" s="11" t="s">
        <v>102</v>
      </c>
      <c r="B60" s="11" t="s">
        <v>32</v>
      </c>
      <c r="C60" s="11">
        <v>1</v>
      </c>
      <c r="D60" s="13">
        <v>495</v>
      </c>
      <c r="E60" s="11">
        <f t="shared" si="5"/>
        <v>495</v>
      </c>
      <c r="F60" s="12" t="s">
        <v>107</v>
      </c>
    </row>
    <row r="61" s="3" customFormat="1" ht="43.2" spans="1:6">
      <c r="A61" s="11" t="s">
        <v>102</v>
      </c>
      <c r="B61" s="11" t="s">
        <v>28</v>
      </c>
      <c r="C61" s="11">
        <v>1</v>
      </c>
      <c r="D61" s="13">
        <v>444</v>
      </c>
      <c r="E61" s="11">
        <f t="shared" si="5"/>
        <v>444</v>
      </c>
      <c r="F61" s="12" t="s">
        <v>108</v>
      </c>
    </row>
    <row r="62" s="3" customFormat="1" ht="36" customHeight="1" spans="1:6">
      <c r="A62" s="11" t="s">
        <v>102</v>
      </c>
      <c r="B62" s="11" t="s">
        <v>109</v>
      </c>
      <c r="C62" s="11">
        <v>1</v>
      </c>
      <c r="D62" s="13">
        <v>30</v>
      </c>
      <c r="E62" s="11">
        <f t="shared" si="5"/>
        <v>30</v>
      </c>
      <c r="F62" s="12" t="s">
        <v>110</v>
      </c>
    </row>
    <row r="63" s="3" customFormat="1" ht="57.6" spans="1:6">
      <c r="A63" s="11" t="s">
        <v>102</v>
      </c>
      <c r="B63" s="11" t="s">
        <v>111</v>
      </c>
      <c r="C63" s="11">
        <v>1</v>
      </c>
      <c r="D63" s="13">
        <v>810</v>
      </c>
      <c r="E63" s="11">
        <f t="shared" si="5"/>
        <v>810</v>
      </c>
      <c r="F63" s="12" t="s">
        <v>112</v>
      </c>
    </row>
    <row r="64" s="3" customFormat="1" ht="45" customHeight="1" spans="1:6">
      <c r="A64" s="11" t="s">
        <v>102</v>
      </c>
      <c r="B64" s="11" t="s">
        <v>17</v>
      </c>
      <c r="C64" s="11">
        <v>1</v>
      </c>
      <c r="D64" s="13">
        <v>438</v>
      </c>
      <c r="E64" s="11">
        <f t="shared" si="5"/>
        <v>438</v>
      </c>
      <c r="F64" s="12" t="s">
        <v>113</v>
      </c>
    </row>
    <row r="65" s="3" customFormat="1" ht="43.2" spans="1:6">
      <c r="A65" s="11" t="s">
        <v>102</v>
      </c>
      <c r="B65" s="11" t="s">
        <v>114</v>
      </c>
      <c r="C65" s="11">
        <v>1</v>
      </c>
      <c r="D65" s="13">
        <v>540</v>
      </c>
      <c r="E65" s="11">
        <f t="shared" si="5"/>
        <v>540</v>
      </c>
      <c r="F65" s="12" t="s">
        <v>115</v>
      </c>
    </row>
    <row r="66" s="3" customFormat="1" ht="43.2" spans="1:6">
      <c r="A66" s="11" t="s">
        <v>102</v>
      </c>
      <c r="B66" s="11" t="s">
        <v>42</v>
      </c>
      <c r="C66" s="11">
        <v>2</v>
      </c>
      <c r="D66" s="13">
        <v>450</v>
      </c>
      <c r="E66" s="11">
        <f t="shared" si="5"/>
        <v>900</v>
      </c>
      <c r="F66" s="12" t="s">
        <v>116</v>
      </c>
    </row>
    <row r="67" s="3" customFormat="1" ht="28.8" spans="1:6">
      <c r="A67" s="11" t="s">
        <v>102</v>
      </c>
      <c r="B67" s="11" t="s">
        <v>34</v>
      </c>
      <c r="C67" s="11">
        <v>3</v>
      </c>
      <c r="D67" s="13">
        <v>330</v>
      </c>
      <c r="E67" s="11">
        <f t="shared" si="5"/>
        <v>990</v>
      </c>
      <c r="F67" s="12" t="s">
        <v>117</v>
      </c>
    </row>
    <row r="68" s="3" customFormat="1" ht="43.2" spans="1:6">
      <c r="A68" s="11" t="s">
        <v>102</v>
      </c>
      <c r="B68" s="11" t="s">
        <v>90</v>
      </c>
      <c r="C68" s="11">
        <v>1</v>
      </c>
      <c r="D68" s="13">
        <v>585</v>
      </c>
      <c r="E68" s="11">
        <f t="shared" si="5"/>
        <v>585</v>
      </c>
      <c r="F68" s="12" t="s">
        <v>118</v>
      </c>
    </row>
    <row r="69" s="3" customFormat="1" ht="43.2" spans="1:6">
      <c r="A69" s="11" t="s">
        <v>102</v>
      </c>
      <c r="B69" s="11" t="s">
        <v>90</v>
      </c>
      <c r="C69" s="11">
        <v>2</v>
      </c>
      <c r="D69" s="13">
        <v>510</v>
      </c>
      <c r="E69" s="11">
        <f t="shared" si="5"/>
        <v>1020</v>
      </c>
      <c r="F69" s="12" t="s">
        <v>119</v>
      </c>
    </row>
    <row r="70" s="3" customFormat="1" ht="43.2" spans="1:6">
      <c r="A70" s="11" t="s">
        <v>102</v>
      </c>
      <c r="B70" s="11" t="s">
        <v>97</v>
      </c>
      <c r="C70" s="11">
        <v>4</v>
      </c>
      <c r="D70" s="13">
        <v>549</v>
      </c>
      <c r="E70" s="11">
        <f t="shared" si="5"/>
        <v>2196</v>
      </c>
      <c r="F70" s="12" t="s">
        <v>120</v>
      </c>
    </row>
    <row r="71" s="3" customFormat="1" ht="32" customHeight="1" spans="1:6">
      <c r="A71" s="14" t="s">
        <v>121</v>
      </c>
      <c r="B71" s="15"/>
      <c r="C71" s="13">
        <f>SUM(C4:C70)</f>
        <v>200</v>
      </c>
      <c r="D71" s="13" t="s">
        <v>122</v>
      </c>
      <c r="E71" s="11">
        <f>SUM(E4:E70)</f>
        <v>134259</v>
      </c>
      <c r="F71" s="13" t="s">
        <v>122</v>
      </c>
    </row>
    <row r="85" s="3" customFormat="1"/>
  </sheetData>
  <autoFilter xmlns:etc="http://www.wps.cn/officeDocument/2017/etCustomData" ref="A3:P71" etc:filterBottomFollowUsedRange="0">
    <extLst/>
  </autoFilter>
  <mergeCells count="3">
    <mergeCell ref="B1:F1"/>
    <mergeCell ref="B2:F2"/>
    <mergeCell ref="A71:B71"/>
  </mergeCells>
  <printOptions horizontalCentered="1"/>
  <pageMargins left="0.747916666666667" right="0.747916666666667" top="0.984027777777778" bottom="0.984027777777778" header="0.511805555555556" footer="0.511805555555556"/>
  <pageSetup paperSize="9" scale="61" fitToHeight="0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抱着如来佛的大腿</cp:lastModifiedBy>
  <dcterms:created xsi:type="dcterms:W3CDTF">1996-12-17T01:32:00Z</dcterms:created>
  <cp:lastPrinted>2017-04-24T06:21:00Z</cp:lastPrinted>
  <dcterms:modified xsi:type="dcterms:W3CDTF">2026-03-09T07:17:14Z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8FD3A499F188455682AE39425C31EABD_13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